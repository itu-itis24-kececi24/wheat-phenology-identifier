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v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e9Xw9C9s9gS1Z9/GAmF00cxdyZgvyOGtLxeU0JanVz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Kameralar farklı türlerle karışmış
======</t>
      </text>
    </comment>
    <comment authorId="0" ref="B5">
      <text>
        <t xml:space="preserve">MISIR!!!
======</t>
      </text>
    </comment>
    <comment authorId="0" ref="A8">
      <text>
        <t xml:space="preserve">portakal/mandalina bahçesi?
======</t>
      </text>
    </comment>
    <comment authorId="0" ref="I9">
      <text>
        <t xml:space="preserve">resim yok
======</t>
      </text>
    </comment>
    <comment authorId="0" ref="A10">
      <text>
        <t xml:space="preserve">çok güzel eğitim için kullanılır - human expert
======</t>
      </text>
    </comment>
    <comment authorId="0" ref="P16">
      <text>
        <t xml:space="preserve">son 1 haftalık foto yok ama çok farketmez
======</t>
      </text>
    </comment>
    <comment authorId="0" ref="P17">
      <text>
        <t xml:space="preserve">yine son 1 haftanın fotosu yok ama sıkıntı çıkmaz bence
======</t>
      </text>
    </comment>
    <comment authorId="0" ref="E18">
      <text>
        <t xml:space="preserve">k1 full lahana (?)
k2 de araya bazı lahana(?) girmiş
======</t>
      </text>
    </comment>
    <comment authorId="0" ref="B22">
      <text>
        <t xml:space="preserve">12 yerine 2 yi indirmişim
======</t>
      </text>
    </comment>
    <comment authorId="0" ref="B23">
      <text>
        <t xml:space="preserve">check again 2014 var ama 2015 için de çıkar
======</t>
      </text>
    </comment>
    <comment authorId="0" ref="O26">
      <text>
        <t xml:space="preserve">?
======</t>
      </text>
    </comment>
    <comment authorId="0" ref="P26">
      <text>
        <t xml:space="preserve">?
======</t>
      </text>
    </comment>
    <comment authorId="0" ref="A27">
      <text>
        <t xml:space="preserve">çok eksik var
2014 martta başlıyor resimler
======</t>
      </text>
    </comment>
    <comment authorId="0" ref="B29">
      <text>
        <t xml:space="preserve">karlı ve pembe kamera görüntüleri var
======</t>
      </text>
    </comment>
    <comment authorId="0" ref="J31">
      <text>
        <t xml:space="preserve">NO IMAGES FOR THESE STAGES
======</t>
      </text>
    </comment>
    <comment authorId="0" ref="M32">
      <text>
        <t xml:space="preserve">çıkarım için yeterli foto yok
======</t>
      </text>
    </comment>
    <comment authorId="0" ref="P34">
      <text>
        <t xml:space="preserve">K1-?
K2, K3 -PAMUK
======</t>
      </text>
    </comment>
    <comment authorId="0" ref="B35">
      <text>
        <t xml:space="preserve">2013 için hiç fotoğraf yok
2014 fotoğrafları nisana kadar eksik 10x-1x karışmış ve blurlu çok 
======</t>
      </text>
    </comment>
    <comment authorId="0" ref="J39">
      <text>
        <t xml:space="preserve">YETERLİ RESİM YOK
======</t>
      </text>
    </comment>
    <comment authorId="0" ref="P40">
      <text>
        <t xml:space="preserve">No file but just trusting the OG date
======</t>
      </text>
    </comment>
    <comment authorId="0" ref="P42">
      <text>
        <t xml:space="preserve">missing images but trusting the OG
======</t>
      </text>
    </comment>
    <comment authorId="0" ref="P43">
      <text>
        <t xml:space="preserve">trusting the OG value
======</t>
      </text>
    </comment>
    <comment authorId="0" ref="B52">
      <text>
        <t xml:space="preserve">3 kamera da buğday dışı bi bitki var 
======</t>
      </text>
    </comment>
    <comment authorId="0" ref="H62">
      <text>
        <t xml:space="preserve">11. aydaki resimlerin çoğu corrupted
28'inden önce kamera açısı yanlışken 28'inde hem kamera açısı düzelmiş hem de ölçekli renkli direk dikilmiş
======</t>
      </text>
    </comment>
    <comment authorId="0" ref="I62">
      <text>
        <t xml:space="preserve">görünen resimler içersinde ilk çıkış burada görünüyor
======</t>
      </text>
    </comment>
    <comment authorId="0" ref="P62">
      <text>
        <t xml:space="preserve">eksik data ama ilk tespit tarihi
======</t>
      </text>
    </comment>
    <comment authorId="0" ref="B65">
      <text>
        <t xml:space="preserve">KAMERA SABİT DEĞİL ÇOK SIKINTI
======</t>
      </text>
    </comment>
    <comment authorId="0" ref="E65">
      <text>
        <t xml:space="preserve">İLK 4 AŞAMA K1
SONRAKİLER K2 YE GÖRE YAPILMIŞTIR
======</t>
      </text>
    </comment>
    <comment authorId="0" ref="H65">
      <text>
        <t xml:space="preserve">en erken data bu tarihte olduğu için bunu baz aldım.
======</t>
      </text>
    </comment>
    <comment authorId="0" ref="K65">
      <text>
        <t xml:space="preserve">damaged files
======</t>
      </text>
    </comment>
    <comment authorId="0" ref="B68">
      <text>
        <t xml:space="preserve">AÇI DEĞİŞİYOR
======</t>
      </text>
    </comment>
    <comment authorId="0" ref="H68">
      <text>
        <t xml:space="preserve">eksik data çok
İLK 2EVRE K1'E GÖRE KALANI K2
======</t>
      </text>
    </comment>
    <comment authorId="0" ref="B69">
      <text>
        <t xml:space="preserve">bu kadar aralık olması normal mi?
======</t>
      </text>
    </comment>
    <comment authorId="0" ref="B70">
      <text>
        <t xml:space="preserve">2013'te bu klasör YOK
======</t>
      </text>
    </comment>
    <comment authorId="0" ref="J70">
      <text>
        <t xml:space="preserve">resim yok
======</t>
      </text>
    </comment>
    <comment authorId="0" ref="K70">
      <text>
        <t xml:space="preserve">kardeşlenmeyi gösteren ilk resim
======</t>
      </text>
    </comment>
    <comment authorId="0" ref="B71">
      <text>
        <t xml:space="preserve">ocak ayına kadar 1x ler2 farklı alanı birlikte gösteriyor. AYRIŞTIRMA
======</t>
      </text>
    </comment>
    <comment authorId="0" ref="L71">
      <text>
        <t xml:space="preserve">EKSİK DATA EN ERKEN TARİH SSEÇİLDİ
======</t>
      </text>
    </comment>
    <comment authorId="0" ref="L72">
      <text>
        <t xml:space="preserve">EKSİK DATA İLK TANI TARİHİ SEÇİLDİ
======</t>
      </text>
    </comment>
    <comment authorId="0" ref="M72">
      <text>
        <t xml:space="preserve">resim boyut ve çözünürlükleri kötü
======</t>
      </text>
    </comment>
    <comment authorId="0" ref="P75">
      <text>
        <t xml:space="preserve">1 aylık data eksik 
EN YAKIN TARİH ALINDI
======</t>
      </text>
    </comment>
    <comment authorId="0" ref="L77">
      <text>
        <t xml:space="preserve">eksik data ilk tarih baz alındı
======</t>
      </text>
    </comment>
    <comment authorId="0" ref="P77">
      <text>
        <t xml:space="preserve">eksik data en erken tarih baz alındı
======</t>
      </text>
    </comment>
    <comment authorId="0" ref="B78">
      <text>
        <t xml:space="preserve">2013'te bu klasör YOK
======</t>
      </text>
    </comment>
    <comment authorId="0" ref="J78">
      <text>
        <t xml:space="preserve">ilk gözlenen tarih
======</t>
      </text>
    </comment>
    <comment authorId="0" ref="B79">
      <text>
        <t xml:space="preserve">2013'te bu klasör yok
======</t>
      </text>
    </comment>
    <comment authorId="0" ref="J79">
      <text>
        <t xml:space="preserve">en erken tarih alındı
======</t>
      </text>
    </comment>
    <comment authorId="0" ref="B80">
      <text>
        <t xml:space="preserve">2013'te bu klasör yok
======</t>
      </text>
    </comment>
    <comment authorId="0" ref="I80">
      <text>
        <t xml:space="preserve">en erken bu tarihte resim var
======</t>
      </text>
    </comment>
    <comment authorId="0" ref="H81">
      <text>
        <t xml:space="preserve">data yok
======</t>
      </text>
    </comment>
    <comment authorId="0" ref="P81">
      <text>
        <t xml:space="preserve">eksik data öncesinde
======</t>
      </text>
    </comment>
    <comment authorId="0" ref="B82">
      <text>
        <t xml:space="preserve">2013'te bu klasör yok
======</t>
      </text>
    </comment>
    <comment authorId="0" ref="B83">
      <text>
        <t xml:space="preserve">2aynı saate ait 2 tane 10x ve 2 tane 1x foto var???
======</t>
      </text>
    </comment>
    <comment authorId="0" ref="O84">
      <text>
        <t xml:space="preserve">eksik data var en erken tespit tarihi seçildi
======</t>
      </text>
    </comment>
    <comment authorId="0" ref="B85">
      <text>
        <t xml:space="preserve">10x i gösteren kamera tarlanın kenarından buğday dışı bir bitkiye odaklanıyor
======</t>
      </text>
    </comment>
    <comment authorId="0" ref="N87">
      <text>
        <t xml:space="preserve">bu iki aşamaya ait 10x fotolar hatalı 1x gösteriyor
======</t>
      </text>
    </comment>
    <comment authorId="0" ref="B98">
      <text>
        <t xml:space="preserve">10x yeterli foto yok 
======</t>
      </text>
    </comment>
    <comment authorId="0" ref="B100">
      <text>
        <t xml:space="preserve">2015 i indirmeyi unutmuşum
======</t>
      </text>
    </comment>
    <comment authorId="0" ref="E101">
      <text>
        <t xml:space="preserve">2013- k1
2014 - k2
======</t>
      </text>
    </comment>
    <comment authorId="0" ref="M101">
      <text>
        <t xml:space="preserve">10x yerine 1x çekmiş o yüzden tespit edilemiyor
======</t>
      </text>
    </comment>
    <comment authorId="0" ref="M102">
      <text>
        <t xml:space="preserve">bu aralıkta foto yok
======</t>
      </text>
    </comment>
    <comment authorId="0" ref="J110">
      <text>
        <t xml:space="preserve">12.04 ve 12.30 un tam ortasını seçtim
======</t>
      </text>
    </comment>
    <comment authorId="0" ref="B111">
      <text>
        <t xml:space="preserve">çok eksik var ama olan resimlere bakarak yaptım
======</t>
      </text>
    </comment>
    <comment authorId="0" ref="B116">
      <text>
        <t xml:space="preserve">başak taneleri çok net - k1
======</t>
      </text>
    </comment>
    <comment authorId="0" ref="H116">
      <text>
        <t xml:space="preserve">based on a hunch?
======</t>
      </text>
    </comment>
    <comment authorId="0" ref="B119">
      <text>
        <t xml:space="preserve">üretimdeki 5 ay için 10-20 foto var anca ve hiçbir şey anlaşılmıyor.
======</t>
      </text>
    </comment>
    <comment authorId="0" ref="B121">
      <text>
        <t xml:space="preserve">2013 ekimi için çok az foto var sadece k2de
k1de 2014 ekimi için yeterli foto olabilir
======</t>
      </text>
    </comment>
    <comment authorId="0" ref="K122">
      <text>
        <t xml:space="preserve">resim yok
======</t>
      </text>
    </comment>
    <comment authorId="0" ref="B124">
      <text>
        <t xml:space="preserve">sadece tek foto var  ana bilgisayarda başkaları var mı kontrol et
======</t>
      </text>
    </comment>
    <comment authorId="0" ref="B126">
      <text>
        <t xml:space="preserve">2017 dosyalarını unutmuşum
======</t>
      </text>
    </comment>
  </commentList>
</comments>
</file>

<file path=xl/sharedStrings.xml><?xml version="1.0" encoding="utf-8"?>
<sst xmlns="http://schemas.openxmlformats.org/spreadsheetml/2006/main" count="1001" uniqueCount="578">
  <si>
    <t xml:space="preserve"> </t>
  </si>
  <si>
    <t>kodu</t>
  </si>
  <si>
    <t>kamera</t>
  </si>
  <si>
    <t>bitki</t>
  </si>
  <si>
    <t>saat/kamera - EKİM</t>
  </si>
  <si>
    <t>sulama</t>
  </si>
  <si>
    <t>Year</t>
  </si>
  <si>
    <t>1-Ekim</t>
  </si>
  <si>
    <t>2 - Çıkış</t>
  </si>
  <si>
    <t>3 - Çimlenme</t>
  </si>
  <si>
    <t>4 - Kardeşlenme</t>
  </si>
  <si>
    <t>5 - Sapa Kalkma</t>
  </si>
  <si>
    <t>6 - Başaklanma</t>
  </si>
  <si>
    <t>7 - Çiçeklenme</t>
  </si>
  <si>
    <t>8 - Olgunlaşma</t>
  </si>
  <si>
    <t>9 - Hasat</t>
  </si>
  <si>
    <t>PS1 - Emergence</t>
  </si>
  <si>
    <t>PS2 - Floral Initiation</t>
  </si>
  <si>
    <t>PS3 - Terminal Spikelet</t>
  </si>
  <si>
    <t>PS4 - First Node</t>
  </si>
  <si>
    <t>PS5 - Heading</t>
  </si>
  <si>
    <t>PS6 - Anthesis</t>
  </si>
  <si>
    <t>PS7 - Maturity</t>
  </si>
  <si>
    <t>total</t>
  </si>
  <si>
    <t>bugday</t>
  </si>
  <si>
    <t>k1</t>
  </si>
  <si>
    <t>12.5.2014</t>
  </si>
  <si>
    <t>12.16.2014</t>
  </si>
  <si>
    <t>12.28.2014</t>
  </si>
  <si>
    <t>1.7.2015</t>
  </si>
  <si>
    <t>3.2.2015</t>
  </si>
  <si>
    <t>4.1.2015</t>
  </si>
  <si>
    <t>4.12.2015</t>
  </si>
  <si>
    <t>5.17.2015</t>
  </si>
  <si>
    <t>6.10.2015</t>
  </si>
  <si>
    <t>A</t>
  </si>
  <si>
    <t>Buğday</t>
  </si>
  <si>
    <t>k2</t>
  </si>
  <si>
    <t>11.16.2016</t>
  </si>
  <si>
    <t>12.22.2016</t>
  </si>
  <si>
    <t>1.4.2017</t>
  </si>
  <si>
    <t>1.17.2017</t>
  </si>
  <si>
    <t>3.6.2017</t>
  </si>
  <si>
    <t>4.8.2017</t>
  </si>
  <si>
    <t>4.19.2017</t>
  </si>
  <si>
    <t>5.18.2017</t>
  </si>
  <si>
    <t>6.8.2017</t>
  </si>
  <si>
    <t>20.11.2014</t>
  </si>
  <si>
    <t>01.12.2014</t>
  </si>
  <si>
    <t>15.12.2014</t>
  </si>
  <si>
    <t>18.12.2014</t>
  </si>
  <si>
    <t>22.01.2015</t>
  </si>
  <si>
    <t>19.03.2015</t>
  </si>
  <si>
    <t>27.04.2015</t>
  </si>
  <si>
    <t>08.05.2015</t>
  </si>
  <si>
    <t>27.05.2015</t>
  </si>
  <si>
    <t>12.01.2014</t>
  </si>
  <si>
    <t>26.01.2014</t>
  </si>
  <si>
    <t>19.02.2014</t>
  </si>
  <si>
    <t>15.03.2014</t>
  </si>
  <si>
    <t>04.04.2014</t>
  </si>
  <si>
    <t>18.06.2014</t>
  </si>
  <si>
    <t>13.07.2014</t>
  </si>
  <si>
    <t>29.05.2014</t>
  </si>
  <si>
    <t>NuLL</t>
  </si>
  <si>
    <t>11.14.2014</t>
  </si>
  <si>
    <t>12.18.2014</t>
  </si>
  <si>
    <t>2.8.2015</t>
  </si>
  <si>
    <t>3.28.2015</t>
  </si>
  <si>
    <t>4.25.2015</t>
  </si>
  <si>
    <t>5.15.2015</t>
  </si>
  <si>
    <t>5.29.2015</t>
  </si>
  <si>
    <t>11.6.2016</t>
  </si>
  <si>
    <t>1.4.2016</t>
  </si>
  <si>
    <t>2.4.2017</t>
  </si>
  <si>
    <t>2.22.2017</t>
  </si>
  <si>
    <t>3.1.2017</t>
  </si>
  <si>
    <t>4.14.2017</t>
  </si>
  <si>
    <t>4.24.2017</t>
  </si>
  <si>
    <t>5.17.2017</t>
  </si>
  <si>
    <t>18.11.2013</t>
  </si>
  <si>
    <t>04.12.2013</t>
  </si>
  <si>
    <t>08.01.2014</t>
  </si>
  <si>
    <t>15.02.2014</t>
  </si>
  <si>
    <t>11.03.2014</t>
  </si>
  <si>
    <t>10.04.2014</t>
  </si>
  <si>
    <t>26.04.2014</t>
  </si>
  <si>
    <t>12.05.2014</t>
  </si>
  <si>
    <t>17.06.2014</t>
  </si>
  <si>
    <t>02.12.2014</t>
  </si>
  <si>
    <t>24.12.2014</t>
  </si>
  <si>
    <t>13.01.2015</t>
  </si>
  <si>
    <t>19.02.2015</t>
  </si>
  <si>
    <t>6.03.2015</t>
  </si>
  <si>
    <t>01.05.2015</t>
  </si>
  <si>
    <t>17.05.2015</t>
  </si>
  <si>
    <t>28.05.2015</t>
  </si>
  <si>
    <t>02.07.2015</t>
  </si>
  <si>
    <t>03.11.2013</t>
  </si>
  <si>
    <t>17.11.2013</t>
  </si>
  <si>
    <t>07.01.2014</t>
  </si>
  <si>
    <t>31.01.2014</t>
  </si>
  <si>
    <t>07.03.2014</t>
  </si>
  <si>
    <t>12.04.2014</t>
  </si>
  <si>
    <t>21.04.2014</t>
  </si>
  <si>
    <t>12.06.2014</t>
  </si>
  <si>
    <t>15.11.2014</t>
  </si>
  <si>
    <t>05.12.2014</t>
  </si>
  <si>
    <t>27.12.2014</t>
  </si>
  <si>
    <t>25.01.2015</t>
  </si>
  <si>
    <t>20.03.2015</t>
  </si>
  <si>
    <t>19.04.2015</t>
  </si>
  <si>
    <t>09.05.2015</t>
  </si>
  <si>
    <t>22.05.2015</t>
  </si>
  <si>
    <t>13.06.2015</t>
  </si>
  <si>
    <t>24.11.2013</t>
  </si>
  <si>
    <t>15.12.2013</t>
  </si>
  <si>
    <t>28.01.2014</t>
  </si>
  <si>
    <t>06.03.2014</t>
  </si>
  <si>
    <t>20.04.2014</t>
  </si>
  <si>
    <t>05.05.2014</t>
  </si>
  <si>
    <t>18.05.2014</t>
  </si>
  <si>
    <t>15.11.2013</t>
  </si>
  <si>
    <t>25.12.2013</t>
  </si>
  <si>
    <t>08.02.2014</t>
  </si>
  <si>
    <t>28.04.2014</t>
  </si>
  <si>
    <t>20.05.2014</t>
  </si>
  <si>
    <t>24.06.2014</t>
  </si>
  <si>
    <t>19.12.2013</t>
  </si>
  <si>
    <t>12.02.2014</t>
  </si>
  <si>
    <t>28.02.2014</t>
  </si>
  <si>
    <t>25.03.2014</t>
  </si>
  <si>
    <t>26.05.2014</t>
  </si>
  <si>
    <t>16.06.2014</t>
  </si>
  <si>
    <t>04.07.2014</t>
  </si>
  <si>
    <t>24.07.2014</t>
  </si>
  <si>
    <t>16.12.2014</t>
  </si>
  <si>
    <t>27.01.2015</t>
  </si>
  <si>
    <t>10.02.2015</t>
  </si>
  <si>
    <t>04.03.2015</t>
  </si>
  <si>
    <t>16.03.2015</t>
  </si>
  <si>
    <t>13.04.2015</t>
  </si>
  <si>
    <t>11.05.2015</t>
  </si>
  <si>
    <t>02.06.2015</t>
  </si>
  <si>
    <t>18.06.2015</t>
  </si>
  <si>
    <t>22.11.2014</t>
  </si>
  <si>
    <t>04.12.2014</t>
  </si>
  <si>
    <t>23.12.2014</t>
  </si>
  <si>
    <t>12.01.2015</t>
  </si>
  <si>
    <t>04.02.2015</t>
  </si>
  <si>
    <t>08.04.2015</t>
  </si>
  <si>
    <t>03.05.2015</t>
  </si>
  <si>
    <t>20.05.2015</t>
  </si>
  <si>
    <t>27.11.2013</t>
  </si>
  <si>
    <t>30.12.2013</t>
  </si>
  <si>
    <t>24.01.2014</t>
  </si>
  <si>
    <t>26.02.2014</t>
  </si>
  <si>
    <t>14.04.2014</t>
  </si>
  <si>
    <t>27.05.2014</t>
  </si>
  <si>
    <t>11.06.2014</t>
  </si>
  <si>
    <t>19.06.2014</t>
  </si>
  <si>
    <t>03.01.2013</t>
  </si>
  <si>
    <t>13.02.2013</t>
  </si>
  <si>
    <t>07.03.2013</t>
  </si>
  <si>
    <t>20.11.2013</t>
  </si>
  <si>
    <t>02.12.2013</t>
  </si>
  <si>
    <t>01.03.2014</t>
  </si>
  <si>
    <t>24.04.2014</t>
  </si>
  <si>
    <t>07.05.2014</t>
  </si>
  <si>
    <t>18.02.2014</t>
  </si>
  <si>
    <t>27.02.2014</t>
  </si>
  <si>
    <t>14.03.2014</t>
  </si>
  <si>
    <t>20.10.2013</t>
  </si>
  <si>
    <t>26.10.2013</t>
  </si>
  <si>
    <t>13.01.2014</t>
  </si>
  <si>
    <t>27.04.2014</t>
  </si>
  <si>
    <t>25.05.2014</t>
  </si>
  <si>
    <t>27.06.2014</t>
  </si>
  <si>
    <t>01.11.2013</t>
  </si>
  <si>
    <t>27.01.2014</t>
  </si>
  <si>
    <t>11.11.2013</t>
  </si>
  <si>
    <t>01.02.2014</t>
  </si>
  <si>
    <t>02.03.2014</t>
  </si>
  <si>
    <t>07.07.2014</t>
  </si>
  <si>
    <t>30.10.2013</t>
  </si>
  <si>
    <t>K1</t>
  </si>
  <si>
    <t>15.30 - K2</t>
  </si>
  <si>
    <t>K1 - 7.30</t>
  </si>
  <si>
    <t>5/5+/2017</t>
  </si>
  <si>
    <t>11.14.2016</t>
  </si>
  <si>
    <t>12.3.2016</t>
  </si>
  <si>
    <t>1.2.2017</t>
  </si>
  <si>
    <t>2.7.2017</t>
  </si>
  <si>
    <t>3.13.2017</t>
  </si>
  <si>
    <t>5.3.2017</t>
  </si>
  <si>
    <t>6.4.2017</t>
  </si>
  <si>
    <t>6.22.2017</t>
  </si>
  <si>
    <t>incoclusive</t>
  </si>
  <si>
    <t>12.31.2013</t>
  </si>
  <si>
    <t>1.28.2014</t>
  </si>
  <si>
    <t>2.24.2014</t>
  </si>
  <si>
    <t>4.10.2014</t>
  </si>
  <si>
    <t>4.29.2014</t>
  </si>
  <si>
    <t>5.17..2014</t>
  </si>
  <si>
    <t>6.5.2014</t>
  </si>
  <si>
    <t>6.17.2014</t>
  </si>
  <si>
    <t>12.15.2016</t>
  </si>
  <si>
    <t>2.20.2017</t>
  </si>
  <si>
    <t>3.17.2017</t>
  </si>
  <si>
    <t>4.27.2017</t>
  </si>
  <si>
    <t>5.20.2017</t>
  </si>
  <si>
    <t>6.5.2017</t>
  </si>
  <si>
    <t>6.20.2017</t>
  </si>
  <si>
    <t>11.9.2013</t>
  </si>
  <si>
    <t>12.26.2013</t>
  </si>
  <si>
    <t>1.3.2014</t>
  </si>
  <si>
    <t>1.29.2014</t>
  </si>
  <si>
    <t>3.11.2014</t>
  </si>
  <si>
    <t>4.16.2014</t>
  </si>
  <si>
    <t>5.5.2014</t>
  </si>
  <si>
    <t>6.3.2014</t>
  </si>
  <si>
    <t>6.12.2014</t>
  </si>
  <si>
    <t>k3</t>
  </si>
  <si>
    <t>11.29.2016</t>
  </si>
  <si>
    <t>12.26.2016</t>
  </si>
  <si>
    <t>1.16.2017</t>
  </si>
  <si>
    <t>2.17.2017</t>
  </si>
  <si>
    <t>3.20.2017</t>
  </si>
  <si>
    <t>4.28.2017</t>
  </si>
  <si>
    <t>6.1.2017</t>
  </si>
  <si>
    <t>6.12.2017</t>
  </si>
  <si>
    <t>not clear</t>
  </si>
  <si>
    <t>11.28.2013</t>
  </si>
  <si>
    <t>12.12.2013</t>
  </si>
  <si>
    <t>1.19.2014</t>
  </si>
  <si>
    <t>2.18.2014</t>
  </si>
  <si>
    <t>3.28.2014</t>
  </si>
  <si>
    <t>4.4.2014</t>
  </si>
  <si>
    <t>4.28.2014</t>
  </si>
  <si>
    <t>19.05.2014</t>
  </si>
  <si>
    <t>k1&amp;k2</t>
  </si>
  <si>
    <t>11.15.2013</t>
  </si>
  <si>
    <t>11.23.2013</t>
  </si>
  <si>
    <t>12.5.2013</t>
  </si>
  <si>
    <t>1.23.2014</t>
  </si>
  <si>
    <t>3.5.2014</t>
  </si>
  <si>
    <t>4.21.2014</t>
  </si>
  <si>
    <t>5.12.2014</t>
  </si>
  <si>
    <t>6.1.2014</t>
  </si>
  <si>
    <t>7.7.2014</t>
  </si>
  <si>
    <t>11.6.2014</t>
  </si>
  <si>
    <t>11.18.2014</t>
  </si>
  <si>
    <t>12.3.2014</t>
  </si>
  <si>
    <t>3.13.2015</t>
  </si>
  <si>
    <t>03.29.2015</t>
  </si>
  <si>
    <t>5.9.2015</t>
  </si>
  <si>
    <t>5.18.2015</t>
  </si>
  <si>
    <t>6.15.2015</t>
  </si>
  <si>
    <t>7.21.2015</t>
  </si>
  <si>
    <t>arpa</t>
  </si>
  <si>
    <t>10.11.2014</t>
  </si>
  <si>
    <t>11.28.2014</t>
  </si>
  <si>
    <t>12.13.2015</t>
  </si>
  <si>
    <t>3.27.2015</t>
  </si>
  <si>
    <t>5.7.2015</t>
  </si>
  <si>
    <t>6.5.2015</t>
  </si>
  <si>
    <t>7.3.2015</t>
  </si>
  <si>
    <t>11.16.2013</t>
  </si>
  <si>
    <t>1.27.2014</t>
  </si>
  <si>
    <t>2.1.2014</t>
  </si>
  <si>
    <t>3.23.2014</t>
  </si>
  <si>
    <t>4.3.2014</t>
  </si>
  <si>
    <t>4.23.2014</t>
  </si>
  <si>
    <t>5.29.2014</t>
  </si>
  <si>
    <t>Arpa</t>
  </si>
  <si>
    <t>10.5.2014</t>
  </si>
  <si>
    <t>10.13.2014</t>
  </si>
  <si>
    <t>10.19.2014</t>
  </si>
  <si>
    <t>10.31.2014</t>
  </si>
  <si>
    <t>5.14.2015</t>
  </si>
  <si>
    <t>06.7.2015</t>
  </si>
  <si>
    <t>06.19.2015</t>
  </si>
  <si>
    <t>7.13.2015</t>
  </si>
  <si>
    <t>03.01.2014</t>
  </si>
  <si>
    <t>2.5.2014</t>
  </si>
  <si>
    <t>2.27.2014</t>
  </si>
  <si>
    <t>4.27.2014</t>
  </si>
  <si>
    <t>5.16.2014</t>
  </si>
  <si>
    <t>5.31.2014</t>
  </si>
  <si>
    <t>7.8.2014</t>
  </si>
  <si>
    <t>10.3.2014</t>
  </si>
  <si>
    <t>11.20.2014</t>
  </si>
  <si>
    <t>12.23.2014</t>
  </si>
  <si>
    <t>1.23.2015</t>
  </si>
  <si>
    <t>3.26.2015</t>
  </si>
  <si>
    <t>5.13.2015</t>
  </si>
  <si>
    <t>6.3.2015</t>
  </si>
  <si>
    <t>7.7.2015</t>
  </si>
  <si>
    <t>11.6.2013</t>
  </si>
  <si>
    <t>11.30.2013</t>
  </si>
  <si>
    <t>12.28.2013</t>
  </si>
  <si>
    <t>2.4.2014</t>
  </si>
  <si>
    <t>inconclusive</t>
  </si>
  <si>
    <t>18.07.2014</t>
  </si>
  <si>
    <t>10.31.2013</t>
  </si>
  <si>
    <t>11.7.2013</t>
  </si>
  <si>
    <t>5.6.2014</t>
  </si>
  <si>
    <t>5.27.2014</t>
  </si>
  <si>
    <t>7.30.2014</t>
  </si>
  <si>
    <t>11.24.2014</t>
  </si>
  <si>
    <t>12.13.2014</t>
  </si>
  <si>
    <t>1.13.2015</t>
  </si>
  <si>
    <t>3.12.2015</t>
  </si>
  <si>
    <t>3.31.2015</t>
  </si>
  <si>
    <t>5.12.2015</t>
  </si>
  <si>
    <t>5.25.2015</t>
  </si>
  <si>
    <t>06.06.2015</t>
  </si>
  <si>
    <t>7.16.2015</t>
  </si>
  <si>
    <t>NULL</t>
  </si>
  <si>
    <t>15.10.2013</t>
  </si>
  <si>
    <t>01.12.2013</t>
  </si>
  <si>
    <t>5.2.2014</t>
  </si>
  <si>
    <t>6.11.2014</t>
  </si>
  <si>
    <t>7.2.2014</t>
  </si>
  <si>
    <t>7.24.2014</t>
  </si>
  <si>
    <t>10.01.2014</t>
  </si>
  <si>
    <t>5.21.2014</t>
  </si>
  <si>
    <t>6.4.2014</t>
  </si>
  <si>
    <t>6.19.2014</t>
  </si>
  <si>
    <t>7.23.2014</t>
  </si>
  <si>
    <t>1.15.2014</t>
  </si>
  <si>
    <t>2.7.2014</t>
  </si>
  <si>
    <t>2.28.2014</t>
  </si>
  <si>
    <t>3.22.2014</t>
  </si>
  <si>
    <t>5.04.2014</t>
  </si>
  <si>
    <t>7.14.2014</t>
  </si>
  <si>
    <t>11.29.2013</t>
  </si>
  <si>
    <t>01.13.2014</t>
  </si>
  <si>
    <t>4.14.2014</t>
  </si>
  <si>
    <t>4.20.2014</t>
  </si>
  <si>
    <t>5.13.2014</t>
  </si>
  <si>
    <t>6.23.2014</t>
  </si>
  <si>
    <t>24.12.2013</t>
  </si>
  <si>
    <t>01.01.2014</t>
  </si>
  <si>
    <t>20.01.2014</t>
  </si>
  <si>
    <t>2.26.2014</t>
  </si>
  <si>
    <t>4.13.2014</t>
  </si>
  <si>
    <t>4.19.2014</t>
  </si>
  <si>
    <t>6.22.2014</t>
  </si>
  <si>
    <t>14.01.2014</t>
  </si>
  <si>
    <t>14.02.2014</t>
  </si>
  <si>
    <t>23.03.2014</t>
  </si>
  <si>
    <t>13.04.2014</t>
  </si>
  <si>
    <t>24.05.2014</t>
  </si>
  <si>
    <t>13.06.2014</t>
  </si>
  <si>
    <t>12.4.2013</t>
  </si>
  <si>
    <t>1.2.2014</t>
  </si>
  <si>
    <t>01.30.2014</t>
  </si>
  <si>
    <t>2.20.2014</t>
  </si>
  <si>
    <t>3.7.2014</t>
  </si>
  <si>
    <t>04.19.2014</t>
  </si>
  <si>
    <t>05.13.2014</t>
  </si>
  <si>
    <t>05.25.2014</t>
  </si>
  <si>
    <t>06.14.2014</t>
  </si>
  <si>
    <t>12.17.2013</t>
  </si>
  <si>
    <t>1.13.2014</t>
  </si>
  <si>
    <t>2.11.2014</t>
  </si>
  <si>
    <t>3.12.2014</t>
  </si>
  <si>
    <t>04.05.2013</t>
  </si>
  <si>
    <t>15.05.2013</t>
  </si>
  <si>
    <t>6.04.2014</t>
  </si>
  <si>
    <t>25.11.2014</t>
  </si>
  <si>
    <t>09.12.2014</t>
  </si>
  <si>
    <t>21.12.2014</t>
  </si>
  <si>
    <t>3.01.2015</t>
  </si>
  <si>
    <t>24.01.2015</t>
  </si>
  <si>
    <t>4.04.2015</t>
  </si>
  <si>
    <t>21.05.2015</t>
  </si>
  <si>
    <t>27.06.2015</t>
  </si>
  <si>
    <t>11.05.2014</t>
  </si>
  <si>
    <t>11.19.2014</t>
  </si>
  <si>
    <t>12.31.2014</t>
  </si>
  <si>
    <t>02.12.2015</t>
  </si>
  <si>
    <t>03.24.2015</t>
  </si>
  <si>
    <t>04.26.2015</t>
  </si>
  <si>
    <t>05.20.2015</t>
  </si>
  <si>
    <t>06.09.2015</t>
  </si>
  <si>
    <t>06.27.2015</t>
  </si>
  <si>
    <t>09.28.2013</t>
  </si>
  <si>
    <t>11.21.2013</t>
  </si>
  <si>
    <t>12.15.2013</t>
  </si>
  <si>
    <t>02.18.2014</t>
  </si>
  <si>
    <t>03.05.2014</t>
  </si>
  <si>
    <t>04.05.2014</t>
  </si>
  <si>
    <t>5.10.2014</t>
  </si>
  <si>
    <t>09.22.2013</t>
  </si>
  <si>
    <t>11.22.2013</t>
  </si>
  <si>
    <t>02.14.2014</t>
  </si>
  <si>
    <t>03.10.2014</t>
  </si>
  <si>
    <t>04.20.2014</t>
  </si>
  <si>
    <t>04.28.2014</t>
  </si>
  <si>
    <t>05.10.2014</t>
  </si>
  <si>
    <t>05.31.2014</t>
  </si>
  <si>
    <t>11.01.2014</t>
  </si>
  <si>
    <t>12.03.2014</t>
  </si>
  <si>
    <t>12.15.2014</t>
  </si>
  <si>
    <t>01.03.2015</t>
  </si>
  <si>
    <t>03.07.2015</t>
  </si>
  <si>
    <t>04.13.2015</t>
  </si>
  <si>
    <t>05.01.2015</t>
  </si>
  <si>
    <t>05.18.2015</t>
  </si>
  <si>
    <t>06.05.2015</t>
  </si>
  <si>
    <t>11.16.2014</t>
  </si>
  <si>
    <t>12.30.2014</t>
  </si>
  <si>
    <t>03.10.2015</t>
  </si>
  <si>
    <t>04.16.2015</t>
  </si>
  <si>
    <t>04.28.2015</t>
  </si>
  <si>
    <t>05.23.2015</t>
  </si>
  <si>
    <t>06.03.2015</t>
  </si>
  <si>
    <t>01.12.2015</t>
  </si>
  <si>
    <t>02.23.2015</t>
  </si>
  <si>
    <t>03.08.2015</t>
  </si>
  <si>
    <t>05.15.2015</t>
  </si>
  <si>
    <t>05.26.2015</t>
  </si>
  <si>
    <t>07.03.2015</t>
  </si>
  <si>
    <t>11.07.2014</t>
  </si>
  <si>
    <t>12.07.2014</t>
  </si>
  <si>
    <t>12.24.2014</t>
  </si>
  <si>
    <t>02.01.2015</t>
  </si>
  <si>
    <t>03.12.2015</t>
  </si>
  <si>
    <t>04.27.2015</t>
  </si>
  <si>
    <t>05.17.2015</t>
  </si>
  <si>
    <t>06.21.2015</t>
  </si>
  <si>
    <t>02.11.2013</t>
  </si>
  <si>
    <t>05.03.2014</t>
  </si>
  <si>
    <t>01.05.2014</t>
  </si>
  <si>
    <t>16.05.2014</t>
  </si>
  <si>
    <t>07.17.2014</t>
  </si>
  <si>
    <t>11.09.2014</t>
  </si>
  <si>
    <t>02.10.2015</t>
  </si>
  <si>
    <t>03.14.2015</t>
  </si>
  <si>
    <t>06.02.2015</t>
  </si>
  <si>
    <t>06.23.2015</t>
  </si>
  <si>
    <t>11.11.2014</t>
  </si>
  <si>
    <t>03.12.2014</t>
  </si>
  <si>
    <t>07.12.2014</t>
  </si>
  <si>
    <t>14.12.2014</t>
  </si>
  <si>
    <t>09.04.2015</t>
  </si>
  <si>
    <t>29.04.2015</t>
  </si>
  <si>
    <t>11.04.2013</t>
  </si>
  <si>
    <t>12.09.2013</t>
  </si>
  <si>
    <t>12.25.2013</t>
  </si>
  <si>
    <t>02.23.2014</t>
  </si>
  <si>
    <t>11.13.2014</t>
  </si>
  <si>
    <t>03.03.2015</t>
  </si>
  <si>
    <t>10.04.2015</t>
  </si>
  <si>
    <t>30.04.2015</t>
  </si>
  <si>
    <t>05.21.2015</t>
  </si>
  <si>
    <t>06.20.2015</t>
  </si>
  <si>
    <t>12.11.2013</t>
  </si>
  <si>
    <t>12.05.2013</t>
  </si>
  <si>
    <t>01.11.2014</t>
  </si>
  <si>
    <t>03.09.2014</t>
  </si>
  <si>
    <t>25.04.2014</t>
  </si>
  <si>
    <t>05.16.2014</t>
  </si>
  <si>
    <t>06.13.2014</t>
  </si>
  <si>
    <t>11.02.2014</t>
  </si>
  <si>
    <t>02.02.2015</t>
  </si>
  <si>
    <t>02.18.2015</t>
  </si>
  <si>
    <t>04.22.2015</t>
  </si>
  <si>
    <t>05.08.2015</t>
  </si>
  <si>
    <t>05.22.2015</t>
  </si>
  <si>
    <t>10.19.2013</t>
  </si>
  <si>
    <t>12.22.2013</t>
  </si>
  <si>
    <t>01.27.2014</t>
  </si>
  <si>
    <t>X</t>
  </si>
  <si>
    <t>6.21.2014</t>
  </si>
  <si>
    <t>25.11.2013</t>
  </si>
  <si>
    <t>10.06.2014</t>
  </si>
  <si>
    <t>19.11.2014</t>
  </si>
  <si>
    <t>26.11.2014</t>
  </si>
  <si>
    <t>08.12.2014</t>
  </si>
  <si>
    <t>25.12.2014</t>
  </si>
  <si>
    <t>05.03.2015</t>
  </si>
  <si>
    <t>22.04.2015</t>
  </si>
  <si>
    <t>02.05.2015</t>
  </si>
  <si>
    <t>29.05.2015</t>
  </si>
  <si>
    <t>06.11.2013</t>
  </si>
  <si>
    <t>04.01.2014</t>
  </si>
  <si>
    <t>16.04.2014</t>
  </si>
  <si>
    <t>30.05.2014</t>
  </si>
  <si>
    <t>09.06.2014</t>
  </si>
  <si>
    <t>18.11.2014</t>
  </si>
  <si>
    <t>06.01.2015</t>
  </si>
  <si>
    <t>09.03.2015</t>
  </si>
  <si>
    <t>18.04.2015</t>
  </si>
  <si>
    <t>04.05.2015</t>
  </si>
  <si>
    <t>24.05.2015</t>
  </si>
  <si>
    <t>10.26.2013</t>
  </si>
  <si>
    <t>11.13.2013</t>
  </si>
  <si>
    <t>4.17.2014</t>
  </si>
  <si>
    <t>05.01.2014</t>
  </si>
  <si>
    <t>05.17.2014</t>
  </si>
  <si>
    <t>09.27.2013</t>
  </si>
  <si>
    <t>12.08.2013</t>
  </si>
  <si>
    <t>01.23.2014</t>
  </si>
  <si>
    <t>x</t>
  </si>
  <si>
    <t>03.11.2014</t>
  </si>
  <si>
    <t>05.26.2014</t>
  </si>
  <si>
    <t>06.02.2014</t>
  </si>
  <si>
    <t>01.26.2014</t>
  </si>
  <si>
    <t>02.16.2014</t>
  </si>
  <si>
    <t>05.22.2014</t>
  </si>
  <si>
    <t>06.06.2014</t>
  </si>
  <si>
    <t>25.10.2013</t>
  </si>
  <si>
    <t>11.27.2013</t>
  </si>
  <si>
    <t>30.01.2014</t>
  </si>
  <si>
    <t>02.25.2014</t>
  </si>
  <si>
    <t>04.21.2014</t>
  </si>
  <si>
    <t>05.30.2014</t>
  </si>
  <si>
    <t>18.01.2014</t>
  </si>
  <si>
    <t>02.19.2014</t>
  </si>
  <si>
    <t>03.26.2014</t>
  </si>
  <si>
    <t>08.04.2014</t>
  </si>
  <si>
    <t>18.04.2014</t>
  </si>
  <si>
    <t>05.04.2014</t>
  </si>
  <si>
    <t>10.10.2013</t>
  </si>
  <si>
    <t>01.19.2014</t>
  </si>
  <si>
    <t>02.07.2014</t>
  </si>
  <si>
    <t>02.22.2014</t>
  </si>
  <si>
    <t>19.04.2014</t>
  </si>
  <si>
    <t>05.20.2014</t>
  </si>
  <si>
    <t>06.09.2014</t>
  </si>
  <si>
    <t>12.21.2014</t>
  </si>
  <si>
    <t>01.21.2015</t>
  </si>
  <si>
    <t>03.13.2015</t>
  </si>
  <si>
    <t>05.02.2015</t>
  </si>
  <si>
    <t>05.19.2015</t>
  </si>
  <si>
    <t>06.07.2015</t>
  </si>
  <si>
    <t>06.25.2015</t>
  </si>
  <si>
    <t>01.17.2014</t>
  </si>
  <si>
    <t>02.04.2014</t>
  </si>
  <si>
    <t>03.14.2014</t>
  </si>
  <si>
    <t>04.16.2014</t>
  </si>
  <si>
    <t>05.27.2014</t>
  </si>
  <si>
    <t>12.27.2013</t>
  </si>
  <si>
    <t>01.16.2014</t>
  </si>
  <si>
    <t>02.11.2014</t>
  </si>
  <si>
    <t>04.08.2014</t>
  </si>
  <si>
    <t>04.23.2014</t>
  </si>
  <si>
    <t>28.11.2013</t>
  </si>
  <si>
    <t>09.01.2014</t>
  </si>
  <si>
    <t>08.03.2014</t>
  </si>
  <si>
    <t>15.04.2014</t>
  </si>
  <si>
    <t>17.05.2014</t>
  </si>
  <si>
    <t>09.29.2013</t>
  </si>
  <si>
    <t>11.09.2013</t>
  </si>
  <si>
    <t>03.02.2014</t>
  </si>
  <si>
    <t>04.17.2014</t>
  </si>
  <si>
    <t>05.09.2014</t>
  </si>
  <si>
    <t>06.05.2014</t>
  </si>
  <si>
    <t>31.12.2013</t>
  </si>
  <si>
    <t>17.01.2014</t>
  </si>
  <si>
    <t>20.02.2014</t>
  </si>
  <si>
    <t>09.03.2014</t>
  </si>
  <si>
    <t>30.04.2014</t>
  </si>
  <si>
    <t>14.11.2013</t>
  </si>
  <si>
    <t>04.03.2014</t>
  </si>
  <si>
    <t>16.11.2013</t>
  </si>
  <si>
    <t>21.02.2014</t>
  </si>
  <si>
    <t>22.05.2014</t>
  </si>
  <si>
    <t>08.06.2014</t>
  </si>
  <si>
    <t>12.08.2014</t>
  </si>
  <si>
    <t>01.24.2015</t>
  </si>
  <si>
    <t>04.24.2015</t>
  </si>
  <si>
    <t>05.12.2015</t>
  </si>
  <si>
    <t>26,13M</t>
  </si>
  <si>
    <t>17.10.2014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</si>
</sst>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sz val="11.0"/>
      <color rgb="FFFA7D00"/>
      <name val="Arial"/>
    </font>
    <font>
      <sz val="11.0"/>
      <color theme="9"/>
      <name val="Calibri"/>
    </font>
    <font>
      <sz val="11.0"/>
      <color rgb="FF70AD47"/>
      <name val="Calibri"/>
    </font>
    <font>
      <sz val="10.0"/>
      <color theme="9"/>
      <name val="Arial"/>
    </font>
    <font>
      <sz val="11.0"/>
      <color rgb="FFC00000"/>
      <name val="Calibri"/>
    </font>
    <font>
      <sz val="10.0"/>
      <color rgb="FF000000"/>
      <name val="Arial"/>
    </font>
    <font>
      <sz val="11.0"/>
      <color theme="1"/>
      <name val="Calibri"/>
    </font>
    <font>
      <sz val="11.0"/>
      <color rgb="FF9C5700"/>
      <name val="Arial"/>
    </font>
    <font>
      <color theme="1"/>
      <name val="Arial"/>
      <scheme val="minor"/>
    </font>
    <font>
      <sz val="11.0"/>
      <color rgb="FF98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434343"/>
        <bgColor rgb="FF434343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EB9C"/>
        <bgColor rgb="FFFFEB9C"/>
      </patternFill>
    </fill>
    <fill>
      <patternFill patternType="solid">
        <fgColor rgb="FF9900FF"/>
        <bgColor rgb="FF9900FF"/>
      </patternFill>
    </fill>
    <fill>
      <patternFill patternType="solid">
        <fgColor rgb="FFE69138"/>
        <bgColor rgb="FFE69138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351C75"/>
        <bgColor rgb="FF351C75"/>
      </patternFill>
    </fill>
  </fills>
  <borders count="4">
    <border/>
    <border>
      <left style="thin">
        <color rgb="FFFF0000"/>
      </left>
      <right style="thin">
        <color rgb="FFFF0000"/>
      </right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49" xfId="0" applyAlignment="1" applyBorder="1" applyFill="1" applyFont="1" applyNumberFormat="1">
      <alignment horizontal="center" shrinkToFit="0" vertical="center" wrapText="1"/>
    </xf>
    <xf borderId="1" fillId="2" fontId="3" numFmtId="49" xfId="0" applyAlignment="1" applyBorder="1" applyFont="1" applyNumberFormat="1">
      <alignment horizontal="center" vertical="center"/>
    </xf>
    <xf borderId="2" fillId="3" fontId="4" numFmtId="0" xfId="0" applyAlignment="1" applyBorder="1" applyFill="1" applyFont="1">
      <alignment horizontal="center"/>
    </xf>
    <xf borderId="2" fillId="3" fontId="4" numFmtId="2" xfId="0" applyAlignment="1" applyBorder="1" applyFont="1" applyNumberFormat="1">
      <alignment horizontal="left"/>
    </xf>
    <xf borderId="2" fillId="3" fontId="4" numFmtId="0" xfId="0" applyBorder="1" applyFont="1"/>
    <xf borderId="2" fillId="3" fontId="4" numFmtId="0" xfId="0" applyAlignment="1" applyBorder="1" applyFont="1">
      <alignment horizontal="center" vertical="center"/>
    </xf>
    <xf borderId="2" fillId="3" fontId="4" numFmtId="1" xfId="0" applyBorder="1" applyFont="1" applyNumberFormat="1"/>
    <xf borderId="0" fillId="0" fontId="5" numFmtId="0" xfId="0" applyAlignment="1" applyFont="1">
      <alignment horizontal="center"/>
    </xf>
    <xf borderId="3" fillId="4" fontId="5" numFmtId="2" xfId="0" applyAlignment="1" applyBorder="1" applyFill="1" applyFont="1" applyNumberFormat="1">
      <alignment horizontal="left"/>
    </xf>
    <xf borderId="3" fillId="4" fontId="5" numFmtId="0" xfId="0" applyBorder="1" applyFont="1"/>
    <xf borderId="3" fillId="4" fontId="6" numFmtId="0" xfId="0" applyBorder="1" applyFont="1"/>
    <xf borderId="3" fillId="4" fontId="5" numFmtId="0" xfId="0" applyAlignment="1" applyBorder="1" applyFont="1">
      <alignment horizontal="center" vertical="center"/>
    </xf>
    <xf borderId="0" fillId="0" fontId="5" numFmtId="14" xfId="0" applyAlignment="1" applyFont="1" applyNumberFormat="1">
      <alignment horizontal="center"/>
    </xf>
    <xf borderId="0" fillId="0" fontId="7" numFmtId="1" xfId="0" applyFont="1" applyNumberFormat="1"/>
    <xf borderId="3" fillId="5" fontId="7" numFmtId="1" xfId="0" applyBorder="1" applyFill="1" applyFont="1" applyNumberFormat="1"/>
    <xf borderId="0" fillId="0" fontId="1" numFmtId="0" xfId="0" applyAlignment="1" applyFont="1">
      <alignment horizontal="center"/>
    </xf>
    <xf borderId="3" fillId="4" fontId="1" numFmtId="2" xfId="0" applyAlignment="1" applyBorder="1" applyFont="1" applyNumberFormat="1">
      <alignment horizontal="left"/>
    </xf>
    <xf borderId="3" fillId="4" fontId="1" numFmtId="0" xfId="0" applyBorder="1" applyFont="1"/>
    <xf borderId="3" fillId="4" fontId="1" numFmtId="0" xfId="0" applyAlignment="1" applyBorder="1" applyFont="1">
      <alignment horizontal="center" vertical="center"/>
    </xf>
    <xf borderId="0" fillId="0" fontId="1" numFmtId="14" xfId="0" applyAlignment="1" applyFont="1" applyNumberFormat="1">
      <alignment horizontal="center"/>
    </xf>
    <xf borderId="0" fillId="0" fontId="8" numFmtId="14" xfId="0" applyAlignment="1" applyFont="1" applyNumberFormat="1">
      <alignment horizontal="center"/>
    </xf>
    <xf borderId="0" fillId="0" fontId="9" numFmtId="1" xfId="0" applyFont="1" applyNumberFormat="1"/>
    <xf borderId="3" fillId="6" fontId="9" numFmtId="1" xfId="0" applyBorder="1" applyFill="1" applyFont="1" applyNumberFormat="1"/>
    <xf borderId="0" fillId="0" fontId="5" numFmtId="2" xfId="0" applyAlignment="1" applyFont="1" applyNumberFormat="1">
      <alignment horizontal="left"/>
    </xf>
    <xf borderId="0" fillId="0" fontId="5" numFmtId="0" xfId="0" applyFont="1"/>
    <xf borderId="0" fillId="0" fontId="6" numFmtId="0" xfId="0" applyFont="1"/>
    <xf borderId="0" fillId="0" fontId="5" numFmtId="0" xfId="0" applyAlignment="1" applyFont="1">
      <alignment horizontal="center" vertical="center"/>
    </xf>
    <xf borderId="3" fillId="7" fontId="6" numFmtId="0" xfId="0" applyAlignment="1" applyBorder="1" applyFill="1" applyFont="1">
      <alignment horizontal="center"/>
    </xf>
    <xf borderId="0" fillId="0" fontId="10" numFmtId="2" xfId="0" applyAlignment="1" applyFont="1" applyNumberFormat="1">
      <alignment horizontal="left"/>
    </xf>
    <xf borderId="0" fillId="0" fontId="1" numFmtId="0" xfId="0" applyFont="1"/>
    <xf borderId="0" fillId="0" fontId="10" numFmtId="0" xfId="0" applyFont="1"/>
    <xf borderId="3" fillId="7" fontId="10" numFmtId="0" xfId="0" applyAlignment="1" applyBorder="1" applyFont="1">
      <alignment horizontal="center"/>
    </xf>
    <xf borderId="3" fillId="8" fontId="1" numFmtId="0" xfId="0" applyAlignment="1" applyBorder="1" applyFill="1" applyFont="1">
      <alignment horizontal="center"/>
    </xf>
    <xf borderId="3" fillId="4" fontId="10" numFmtId="0" xfId="0" applyBorder="1" applyFont="1"/>
    <xf borderId="3" fillId="9" fontId="6" numFmtId="2" xfId="0" applyAlignment="1" applyBorder="1" applyFill="1" applyFont="1" applyNumberFormat="1">
      <alignment horizontal="left"/>
    </xf>
    <xf borderId="3" fillId="9" fontId="5" numFmtId="0" xfId="0" applyBorder="1" applyFont="1"/>
    <xf borderId="3" fillId="9" fontId="5" numFmtId="0" xfId="0" applyAlignment="1" applyBorder="1" applyFont="1">
      <alignment horizontal="center" vertical="center"/>
    </xf>
    <xf borderId="3" fillId="10" fontId="5" numFmtId="14" xfId="0" applyAlignment="1" applyBorder="1" applyFill="1" applyFont="1" applyNumberFormat="1">
      <alignment horizontal="center"/>
    </xf>
    <xf borderId="3" fillId="9" fontId="6" numFmtId="0" xfId="0" applyAlignment="1" applyBorder="1" applyFont="1">
      <alignment horizontal="center"/>
    </xf>
    <xf borderId="3" fillId="9" fontId="5" numFmtId="14" xfId="0" applyAlignment="1" applyBorder="1" applyFont="1" applyNumberFormat="1">
      <alignment horizontal="center"/>
    </xf>
    <xf borderId="3" fillId="11" fontId="11" numFmtId="0" xfId="0" applyAlignment="1" applyBorder="1" applyFill="1" applyFont="1">
      <alignment horizontal="center"/>
    </xf>
    <xf borderId="3" fillId="11" fontId="11" numFmtId="2" xfId="0" applyAlignment="1" applyBorder="1" applyFont="1" applyNumberFormat="1">
      <alignment horizontal="left"/>
    </xf>
    <xf borderId="3" fillId="11" fontId="11" numFmtId="0" xfId="0" applyBorder="1" applyFont="1"/>
    <xf borderId="3" fillId="11" fontId="11" numFmtId="0" xfId="0" applyAlignment="1" applyBorder="1" applyFont="1">
      <alignment horizontal="center" vertical="center"/>
    </xf>
    <xf borderId="3" fillId="11" fontId="11" numFmtId="14" xfId="0" applyAlignment="1" applyBorder="1" applyFont="1" applyNumberFormat="1">
      <alignment horizontal="center"/>
    </xf>
    <xf borderId="3" fillId="11" fontId="11" numFmtId="1" xfId="0" applyBorder="1" applyFont="1" applyNumberFormat="1"/>
    <xf borderId="0" fillId="0" fontId="12" numFmtId="0" xfId="0" applyFont="1"/>
    <xf borderId="3" fillId="9" fontId="10" numFmtId="2" xfId="0" applyAlignment="1" applyBorder="1" applyFont="1" applyNumberFormat="1">
      <alignment horizontal="left"/>
    </xf>
    <xf borderId="3" fillId="9" fontId="1" numFmtId="0" xfId="0" applyBorder="1" applyFont="1"/>
    <xf borderId="3" fillId="9" fontId="10" numFmtId="0" xfId="0" applyBorder="1" applyFont="1"/>
    <xf borderId="3" fillId="9" fontId="1" numFmtId="0" xfId="0" applyAlignment="1" applyBorder="1" applyFont="1">
      <alignment horizontal="center" vertical="center"/>
    </xf>
    <xf borderId="3" fillId="9" fontId="10" numFmtId="14" xfId="0" applyAlignment="1" applyBorder="1" applyFont="1" applyNumberFormat="1">
      <alignment horizontal="center"/>
    </xf>
    <xf borderId="3" fillId="5" fontId="9" numFmtId="1" xfId="0" applyBorder="1" applyFont="1" applyNumberFormat="1"/>
    <xf borderId="0" fillId="0" fontId="1" numFmtId="2" xfId="0" applyAlignment="1" applyFont="1" applyNumberFormat="1">
      <alignment horizontal="left"/>
    </xf>
    <xf borderId="3" fillId="9" fontId="1" numFmtId="14" xfId="0" applyAlignment="1" applyBorder="1" applyFont="1" applyNumberFormat="1">
      <alignment horizontal="center"/>
    </xf>
    <xf borderId="3" fillId="12" fontId="10" numFmtId="2" xfId="0" applyAlignment="1" applyBorder="1" applyFill="1" applyFont="1" applyNumberFormat="1">
      <alignment horizontal="left"/>
    </xf>
    <xf borderId="0" fillId="0" fontId="10" numFmtId="14" xfId="0" applyAlignment="1" applyFont="1" applyNumberFormat="1">
      <alignment horizontal="center"/>
    </xf>
    <xf borderId="3" fillId="12" fontId="5" numFmtId="2" xfId="0" applyAlignment="1" applyBorder="1" applyFont="1" applyNumberFormat="1">
      <alignment horizontal="left"/>
    </xf>
    <xf borderId="0" fillId="0" fontId="6" numFmtId="0" xfId="0" applyAlignment="1" applyFont="1">
      <alignment horizontal="center" vertical="center"/>
    </xf>
    <xf borderId="3" fillId="7" fontId="1" numFmtId="14" xfId="0" applyAlignment="1" applyBorder="1" applyFont="1" applyNumberFormat="1">
      <alignment horizontal="center"/>
    </xf>
    <xf borderId="3" fillId="13" fontId="1" numFmtId="0" xfId="0" applyAlignment="1" applyBorder="1" applyFill="1" applyFont="1">
      <alignment horizontal="center"/>
    </xf>
    <xf borderId="3" fillId="11" fontId="11" numFmtId="164" xfId="0" applyAlignment="1" applyBorder="1" applyFont="1" applyNumberFormat="1">
      <alignment horizontal="center"/>
    </xf>
    <xf borderId="3" fillId="14" fontId="1" numFmtId="2" xfId="0" applyAlignment="1" applyBorder="1" applyFill="1" applyFont="1" applyNumberFormat="1">
      <alignment horizontal="left"/>
    </xf>
    <xf borderId="3" fillId="15" fontId="1" numFmtId="14" xfId="0" applyAlignment="1" applyBorder="1" applyFill="1" applyFont="1" applyNumberFormat="1">
      <alignment horizontal="center"/>
    </xf>
    <xf borderId="3" fillId="16" fontId="1" numFmtId="0" xfId="0" applyAlignment="1" applyBorder="1" applyFill="1" applyFont="1">
      <alignment horizontal="center"/>
    </xf>
    <xf borderId="3" fillId="4" fontId="1" numFmtId="14" xfId="0" applyAlignment="1" applyBorder="1" applyFont="1" applyNumberFormat="1">
      <alignment horizontal="center"/>
    </xf>
    <xf borderId="3" fillId="16" fontId="5" numFmtId="0" xfId="0" applyAlignment="1" applyBorder="1" applyFont="1">
      <alignment horizontal="center"/>
    </xf>
    <xf borderId="3" fillId="4" fontId="5" numFmtId="14" xfId="0" applyAlignment="1" applyBorder="1" applyFont="1" applyNumberFormat="1">
      <alignment horizontal="center"/>
    </xf>
    <xf borderId="3" fillId="7" fontId="6" numFmtId="14" xfId="0" applyAlignment="1" applyBorder="1" applyFont="1" applyNumberFormat="1">
      <alignment horizontal="center"/>
    </xf>
    <xf borderId="3" fillId="9" fontId="6" numFmtId="14" xfId="0" applyAlignment="1" applyBorder="1" applyFont="1" applyNumberFormat="1">
      <alignment horizontal="center"/>
    </xf>
    <xf borderId="3" fillId="17" fontId="1" numFmtId="2" xfId="0" applyAlignment="1" applyBorder="1" applyFill="1" applyFont="1" applyNumberFormat="1">
      <alignment horizontal="left"/>
    </xf>
    <xf borderId="3" fillId="17" fontId="1" numFmtId="0" xfId="0" applyBorder="1" applyFont="1"/>
    <xf borderId="3" fillId="17" fontId="1" numFmtId="0" xfId="0" applyAlignment="1" applyBorder="1" applyFont="1">
      <alignment horizontal="center" vertical="center"/>
    </xf>
    <xf borderId="3" fillId="7" fontId="1" numFmtId="164" xfId="0" applyAlignment="1" applyBorder="1" applyFont="1" applyNumberFormat="1">
      <alignment horizontal="center"/>
    </xf>
    <xf borderId="3" fillId="7" fontId="10" numFmtId="14" xfId="0" applyAlignment="1" applyBorder="1" applyFont="1" applyNumberFormat="1">
      <alignment horizontal="center"/>
    </xf>
    <xf borderId="3" fillId="18" fontId="1" numFmtId="0" xfId="0" applyAlignment="1" applyBorder="1" applyFill="1" applyFont="1">
      <alignment horizontal="center"/>
    </xf>
    <xf borderId="3" fillId="18" fontId="10" numFmtId="2" xfId="0" applyAlignment="1" applyBorder="1" applyFont="1" applyNumberFormat="1">
      <alignment horizontal="left"/>
    </xf>
    <xf borderId="3" fillId="15" fontId="10" numFmtId="14" xfId="0" applyAlignment="1" applyBorder="1" applyFont="1" applyNumberFormat="1">
      <alignment horizontal="center"/>
    </xf>
    <xf borderId="3" fillId="19" fontId="10" numFmtId="14" xfId="0" applyAlignment="1" applyBorder="1" applyFill="1" applyFont="1" applyNumberFormat="1">
      <alignment horizontal="center"/>
    </xf>
    <xf borderId="3" fillId="20" fontId="10" numFmtId="14" xfId="0" applyAlignment="1" applyBorder="1" applyFill="1" applyFont="1" applyNumberFormat="1">
      <alignment horizontal="center"/>
    </xf>
    <xf borderId="2" fillId="3" fontId="4" numFmtId="14" xfId="0" applyAlignment="1" applyBorder="1" applyFont="1" applyNumberFormat="1">
      <alignment horizontal="center"/>
    </xf>
    <xf borderId="3" fillId="18" fontId="1" numFmtId="2" xfId="0" applyAlignment="1" applyBorder="1" applyFont="1" applyNumberFormat="1">
      <alignment horizontal="left"/>
    </xf>
    <xf borderId="3" fillId="19" fontId="1" numFmtId="0" xfId="0" applyAlignment="1" applyBorder="1" applyFont="1">
      <alignment horizontal="center"/>
    </xf>
    <xf borderId="3" fillId="21" fontId="1" numFmtId="2" xfId="0" applyAlignment="1" applyBorder="1" applyFill="1" applyFont="1" applyNumberFormat="1">
      <alignment horizontal="left"/>
    </xf>
    <xf borderId="3" fillId="4" fontId="1" numFmtId="0" xfId="0" applyAlignment="1" applyBorder="1" applyFont="1">
      <alignment horizontal="center"/>
    </xf>
    <xf borderId="3" fillId="4" fontId="8" numFmtId="14" xfId="0" applyAlignment="1" applyBorder="1" applyFont="1" applyNumberFormat="1">
      <alignment horizontal="center"/>
    </xf>
    <xf borderId="3" fillId="19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3" fillId="19" fontId="1" numFmtId="14" xfId="0" applyAlignment="1" applyBorder="1" applyFont="1" applyNumberFormat="1">
      <alignment horizontal="center"/>
    </xf>
    <xf borderId="3" fillId="19" fontId="8" numFmtId="14" xfId="0" applyAlignment="1" applyBorder="1" applyFont="1" applyNumberFormat="1">
      <alignment horizontal="center"/>
    </xf>
    <xf borderId="3" fillId="15" fontId="10" numFmtId="0" xfId="0" applyAlignment="1" applyBorder="1" applyFont="1">
      <alignment horizontal="center"/>
    </xf>
    <xf borderId="3" fillId="18" fontId="5" numFmtId="0" xfId="0" applyAlignment="1" applyBorder="1" applyFont="1">
      <alignment horizontal="center"/>
    </xf>
    <xf borderId="3" fillId="18" fontId="5" numFmtId="2" xfId="0" applyAlignment="1" applyBorder="1" applyFont="1" applyNumberFormat="1">
      <alignment horizontal="left"/>
    </xf>
    <xf borderId="3" fillId="19" fontId="6" numFmtId="14" xfId="0" applyAlignment="1" applyBorder="1" applyFont="1" applyNumberFormat="1">
      <alignment horizontal="center"/>
    </xf>
    <xf borderId="3" fillId="19" fontId="6" numFmtId="164" xfId="0" applyAlignment="1" applyBorder="1" applyFont="1" applyNumberFormat="1">
      <alignment horizontal="center"/>
    </xf>
    <xf borderId="3" fillId="19" fontId="6" numFmtId="165" xfId="0" applyAlignment="1" applyBorder="1" applyFont="1" applyNumberFormat="1">
      <alignment horizontal="center"/>
    </xf>
    <xf borderId="3" fillId="19" fontId="6" numFmtId="0" xfId="0" applyAlignment="1" applyBorder="1" applyFont="1">
      <alignment horizontal="center"/>
    </xf>
    <xf borderId="3" fillId="2" fontId="1" numFmtId="0" xfId="0" applyBorder="1" applyFont="1"/>
    <xf borderId="3" fillId="2" fontId="10" numFmtId="0" xfId="0" applyBorder="1" applyFont="1"/>
    <xf borderId="3" fillId="2" fontId="1" numFmtId="0" xfId="0" applyAlignment="1" applyBorder="1" applyFont="1">
      <alignment horizontal="center" vertical="center"/>
    </xf>
    <xf borderId="3" fillId="5" fontId="10" numFmtId="14" xfId="0" applyAlignment="1" applyBorder="1" applyFont="1" applyNumberFormat="1">
      <alignment horizontal="center"/>
    </xf>
    <xf borderId="3" fillId="15" fontId="6" numFmtId="0" xfId="0" applyAlignment="1" applyBorder="1" applyFont="1">
      <alignment horizontal="center"/>
    </xf>
    <xf borderId="3" fillId="15" fontId="5" numFmtId="14" xfId="0" applyAlignment="1" applyBorder="1" applyFont="1" applyNumberFormat="1">
      <alignment horizontal="center"/>
    </xf>
    <xf borderId="3" fillId="5" fontId="5" numFmtId="2" xfId="0" applyAlignment="1" applyBorder="1" applyFont="1" applyNumberFormat="1">
      <alignment horizontal="left"/>
    </xf>
    <xf borderId="3" fillId="15" fontId="1" numFmtId="0" xfId="0" applyAlignment="1" applyBorder="1" applyFont="1">
      <alignment horizontal="center"/>
    </xf>
    <xf borderId="3" fillId="22" fontId="6" numFmtId="0" xfId="0" applyAlignment="1" applyBorder="1" applyFill="1" applyFont="1">
      <alignment horizontal="center"/>
    </xf>
    <xf borderId="3" fillId="5" fontId="1" numFmtId="2" xfId="0" applyAlignment="1" applyBorder="1" applyFont="1" applyNumberFormat="1">
      <alignment horizontal="left"/>
    </xf>
    <xf borderId="3" fillId="23" fontId="1" numFmtId="2" xfId="0" applyAlignment="1" applyBorder="1" applyFill="1" applyFont="1" applyNumberFormat="1">
      <alignment horizontal="left"/>
    </xf>
    <xf borderId="3" fillId="22" fontId="1" numFmtId="14" xfId="0" applyAlignment="1" applyBorder="1" applyFont="1" applyNumberFormat="1">
      <alignment horizontal="center"/>
    </xf>
    <xf borderId="3" fillId="15" fontId="13" numFmtId="0" xfId="0" applyAlignment="1" applyBorder="1" applyFont="1">
      <alignment horizontal="center"/>
    </xf>
    <xf borderId="3" fillId="23" fontId="5" numFmtId="2" xfId="0" applyAlignment="1" applyBorder="1" applyFont="1" applyNumberFormat="1">
      <alignment horizontal="left"/>
    </xf>
    <xf borderId="3" fillId="15" fontId="5" numFmtId="2" xfId="0" applyAlignment="1" applyBorder="1" applyFont="1" applyNumberFormat="1">
      <alignment horizontal="left"/>
    </xf>
    <xf borderId="3" fillId="15" fontId="5" numFmtId="0" xfId="0" applyBorder="1" applyFont="1"/>
    <xf borderId="3" fillId="15" fontId="6" numFmtId="0" xfId="0" applyBorder="1" applyFont="1"/>
    <xf borderId="3" fillId="15" fontId="5" numFmtId="0" xfId="0" applyAlignment="1" applyBorder="1" applyFont="1">
      <alignment horizontal="center" vertical="center"/>
    </xf>
    <xf borderId="3" fillId="15" fontId="1" numFmtId="2" xfId="0" applyAlignment="1" applyBorder="1" applyFont="1" applyNumberFormat="1">
      <alignment horizontal="left"/>
    </xf>
    <xf borderId="3" fillId="15" fontId="1" numFmtId="0" xfId="0" applyBorder="1" applyFont="1"/>
    <xf borderId="3" fillId="15" fontId="1" numFmtId="0" xfId="0" applyAlignment="1" applyBorder="1" applyFont="1">
      <alignment horizontal="center" vertical="center"/>
    </xf>
    <xf borderId="3" fillId="24" fontId="1" numFmtId="14" xfId="0" applyAlignment="1" applyBorder="1" applyFill="1" applyFont="1" applyNumberFormat="1">
      <alignment horizontal="center"/>
    </xf>
    <xf borderId="3" fillId="7" fontId="1" numFmtId="2" xfId="0" applyAlignment="1" applyBorder="1" applyFont="1" applyNumberFormat="1">
      <alignment horizontal="left"/>
    </xf>
    <xf borderId="3" fillId="7" fontId="1" numFmtId="0" xfId="0" applyBorder="1" applyFont="1"/>
    <xf borderId="3" fillId="7" fontId="1" numFmtId="0" xfId="0" applyAlignment="1" applyBorder="1" applyFont="1">
      <alignment horizontal="center" vertical="center"/>
    </xf>
    <xf borderId="3" fillId="7" fontId="1" numFmtId="0" xfId="0" applyAlignment="1" applyBorder="1" applyFont="1">
      <alignment horizontal="center"/>
    </xf>
    <xf borderId="3" fillId="15" fontId="10" numFmtId="2" xfId="0" applyAlignment="1" applyBorder="1" applyFont="1" applyNumberFormat="1">
      <alignment horizontal="left"/>
    </xf>
    <xf borderId="3" fillId="15" fontId="10" numFmtId="0" xfId="0" applyBorder="1" applyFont="1"/>
    <xf borderId="3" fillId="22" fontId="5" numFmtId="14" xfId="0" applyAlignment="1" applyBorder="1" applyFont="1" applyNumberFormat="1">
      <alignment horizontal="center"/>
    </xf>
    <xf borderId="3" fillId="7" fontId="5" numFmtId="2" xfId="0" applyAlignment="1" applyBorder="1" applyFont="1" applyNumberFormat="1">
      <alignment horizontal="left"/>
    </xf>
    <xf borderId="3" fillId="7" fontId="5" numFmtId="0" xfId="0" applyBorder="1" applyFont="1"/>
    <xf borderId="3" fillId="7" fontId="6" numFmtId="0" xfId="0" applyBorder="1" applyFont="1"/>
    <xf borderId="3" fillId="7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3" fillId="21" fontId="5" numFmtId="2" xfId="0" applyAlignment="1" applyBorder="1" applyFont="1" applyNumberFormat="1">
      <alignment horizontal="left"/>
    </xf>
    <xf borderId="3" fillId="21" fontId="5" numFmtId="0" xfId="0" applyBorder="1" applyFont="1"/>
    <xf borderId="3" fillId="21" fontId="5" numFmtId="0" xfId="0" applyAlignment="1" applyBorder="1" applyFont="1">
      <alignment horizontal="center" vertical="center"/>
    </xf>
    <xf borderId="3" fillId="21" fontId="5" numFmtId="14" xfId="0" applyAlignment="1" applyBorder="1" applyFont="1" applyNumberFormat="1">
      <alignment horizontal="center"/>
    </xf>
    <xf borderId="3" fillId="4" fontId="6" numFmtId="0" xfId="0" applyAlignment="1" applyBorder="1" applyFont="1">
      <alignment horizontal="center"/>
    </xf>
    <xf borderId="3" fillId="7" fontId="6" numFmtId="2" xfId="0" applyAlignment="1" applyBorder="1" applyFont="1" applyNumberFormat="1">
      <alignment horizontal="left"/>
    </xf>
    <xf borderId="3" fillId="21" fontId="10" numFmtId="2" xfId="0" applyAlignment="1" applyBorder="1" applyFont="1" applyNumberFormat="1">
      <alignment horizontal="left"/>
    </xf>
    <xf borderId="2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142875</xdr:colOff>
      <xdr:row>43</xdr:row>
      <xdr:rowOff>104775</xdr:rowOff>
    </xdr:from>
    <xdr:ext cx="6800850" cy="4000500"/>
    <xdr:pic>
      <xdr:nvPicPr>
        <xdr:cNvPr id="0" name="image2.jp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485775</xdr:colOff>
      <xdr:row>67</xdr:row>
      <xdr:rowOff>114300</xdr:rowOff>
    </xdr:from>
    <xdr:ext cx="6553200" cy="5981700"/>
    <xdr:pic>
      <xdr:nvPicPr>
        <xdr:cNvPr id="0" name="image1.jp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.0"/>
    <col customWidth="1" min="4" max="4" width="9.25"/>
    <col customWidth="1" min="5" max="5" width="3.75"/>
    <col customWidth="1" min="6" max="6" width="3.38"/>
    <col customWidth="1" min="24" max="24" width="19.38"/>
    <col customWidth="1" min="25" max="25" width="2.88"/>
    <col customWidth="1" min="26" max="26" width="6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</row>
    <row r="2">
      <c r="A2" s="8">
        <v>1.0</v>
      </c>
      <c r="B2" s="9">
        <v>1.01</v>
      </c>
      <c r="C2" s="10">
        <v>1.0</v>
      </c>
      <c r="D2" s="10" t="s">
        <v>24</v>
      </c>
      <c r="E2" s="10" t="s">
        <v>25</v>
      </c>
      <c r="F2" s="10">
        <v>0.0</v>
      </c>
      <c r="G2" s="11">
        <v>2014.0</v>
      </c>
      <c r="H2" s="8" t="s">
        <v>26</v>
      </c>
      <c r="I2" s="8" t="s">
        <v>27</v>
      </c>
      <c r="J2" s="8" t="s">
        <v>28</v>
      </c>
      <c r="K2" s="8" t="s">
        <v>29</v>
      </c>
      <c r="L2" s="8" t="s">
        <v>30</v>
      </c>
      <c r="M2" s="8" t="s">
        <v>31</v>
      </c>
      <c r="N2" s="8" t="s">
        <v>32</v>
      </c>
      <c r="O2" s="8" t="s">
        <v>33</v>
      </c>
      <c r="P2" s="8" t="s">
        <v>34</v>
      </c>
      <c r="Q2" s="12" t="str">
        <f t="shared" ref="Q2:W2" si="1">I2-H2</f>
        <v>#VALUE!</v>
      </c>
      <c r="R2" s="12" t="str">
        <f t="shared" si="1"/>
        <v>#VALUE!</v>
      </c>
      <c r="S2" s="12" t="str">
        <f t="shared" si="1"/>
        <v>#VALUE!</v>
      </c>
      <c r="T2" s="12" t="str">
        <f t="shared" si="1"/>
        <v>#VALUE!</v>
      </c>
      <c r="U2" s="12" t="str">
        <f t="shared" si="1"/>
        <v>#VALUE!</v>
      </c>
      <c r="V2" s="12" t="str">
        <f t="shared" si="1"/>
        <v>#VALUE!</v>
      </c>
      <c r="W2" s="12" t="str">
        <f t="shared" si="1"/>
        <v>#VALUE!</v>
      </c>
      <c r="X2" s="12" t="str">
        <f t="shared" ref="X2:X15" si="3">SUM(Q2:W2)</f>
        <v>#VALUE!</v>
      </c>
      <c r="Y2" s="10"/>
      <c r="Z2" s="10"/>
      <c r="AA2" s="10"/>
      <c r="AB2" s="10"/>
    </row>
    <row r="3">
      <c r="A3" s="8" t="s">
        <v>35</v>
      </c>
      <c r="B3" s="9">
        <v>1.05</v>
      </c>
      <c r="C3" s="10"/>
      <c r="D3" s="10" t="s">
        <v>36</v>
      </c>
      <c r="E3" s="10" t="s">
        <v>37</v>
      </c>
      <c r="F3" s="10"/>
      <c r="G3" s="11">
        <v>2016.0</v>
      </c>
      <c r="H3" s="8" t="s">
        <v>38</v>
      </c>
      <c r="I3" s="8" t="s">
        <v>39</v>
      </c>
      <c r="J3" s="8" t="s">
        <v>40</v>
      </c>
      <c r="K3" s="8" t="s">
        <v>41</v>
      </c>
      <c r="L3" s="8" t="s">
        <v>42</v>
      </c>
      <c r="M3" s="8" t="s">
        <v>43</v>
      </c>
      <c r="N3" s="8" t="s">
        <v>44</v>
      </c>
      <c r="O3" s="8" t="s">
        <v>45</v>
      </c>
      <c r="P3" s="8" t="s">
        <v>46</v>
      </c>
      <c r="Q3" s="12" t="str">
        <f t="shared" ref="Q3:W3" si="2">I3-H3</f>
        <v>#VALUE!</v>
      </c>
      <c r="R3" s="12" t="str">
        <f t="shared" si="2"/>
        <v>#VALUE!</v>
      </c>
      <c r="S3" s="12" t="str">
        <f t="shared" si="2"/>
        <v>#VALUE!</v>
      </c>
      <c r="T3" s="12" t="str">
        <f t="shared" si="2"/>
        <v>#VALUE!</v>
      </c>
      <c r="U3" s="12" t="str">
        <f t="shared" si="2"/>
        <v>#VALUE!</v>
      </c>
      <c r="V3" s="12" t="str">
        <f t="shared" si="2"/>
        <v>#VALUE!</v>
      </c>
      <c r="W3" s="12" t="str">
        <f t="shared" si="2"/>
        <v>#VALUE!</v>
      </c>
      <c r="X3" s="12" t="str">
        <f t="shared" si="3"/>
        <v>#VALUE!</v>
      </c>
      <c r="Y3" s="10"/>
      <c r="Z3" s="10"/>
      <c r="AA3" s="10"/>
      <c r="AB3" s="10"/>
    </row>
    <row r="4">
      <c r="A4" s="13">
        <v>1.0</v>
      </c>
      <c r="B4" s="14">
        <v>1.07</v>
      </c>
      <c r="C4" s="15">
        <v>1.0</v>
      </c>
      <c r="D4" s="15" t="s">
        <v>24</v>
      </c>
      <c r="E4" s="16" t="s">
        <v>25</v>
      </c>
      <c r="F4" s="15">
        <v>0.0</v>
      </c>
      <c r="G4" s="17">
        <v>2014.0</v>
      </c>
      <c r="H4" s="18" t="s">
        <v>47</v>
      </c>
      <c r="I4" s="18" t="s">
        <v>48</v>
      </c>
      <c r="J4" s="18" t="s">
        <v>49</v>
      </c>
      <c r="K4" s="18" t="s">
        <v>50</v>
      </c>
      <c r="L4" s="18" t="s">
        <v>51</v>
      </c>
      <c r="M4" s="18" t="s">
        <v>52</v>
      </c>
      <c r="N4" s="18" t="s">
        <v>53</v>
      </c>
      <c r="O4" s="18" t="s">
        <v>54</v>
      </c>
      <c r="P4" s="18" t="s">
        <v>55</v>
      </c>
      <c r="Q4" s="19" t="str">
        <f t="shared" ref="Q4:W4" si="4">I4-H4</f>
        <v>#VALUE!</v>
      </c>
      <c r="R4" s="19" t="str">
        <f t="shared" si="4"/>
        <v>#VALUE!</v>
      </c>
      <c r="S4" s="20" t="str">
        <f t="shared" si="4"/>
        <v>#VALUE!</v>
      </c>
      <c r="T4" s="19" t="str">
        <f t="shared" si="4"/>
        <v>#VALUE!</v>
      </c>
      <c r="U4" s="19" t="str">
        <f t="shared" si="4"/>
        <v>#VALUE!</v>
      </c>
      <c r="V4" s="19" t="str">
        <f t="shared" si="4"/>
        <v>#VALUE!</v>
      </c>
      <c r="W4" s="19" t="str">
        <f t="shared" si="4"/>
        <v>#VALUE!</v>
      </c>
      <c r="X4" s="19" t="str">
        <f t="shared" si="3"/>
        <v>#VALUE!</v>
      </c>
    </row>
    <row r="5">
      <c r="A5" s="21">
        <v>1.0</v>
      </c>
      <c r="B5" s="22">
        <v>1.09</v>
      </c>
      <c r="C5" s="23"/>
      <c r="D5" s="23" t="s">
        <v>36</v>
      </c>
      <c r="E5" s="23"/>
      <c r="F5" s="23"/>
      <c r="G5" s="24">
        <v>2014.0</v>
      </c>
      <c r="H5" s="25" t="s">
        <v>56</v>
      </c>
      <c r="I5" s="25" t="s">
        <v>57</v>
      </c>
      <c r="J5" s="25" t="s">
        <v>58</v>
      </c>
      <c r="K5" s="25" t="s">
        <v>59</v>
      </c>
      <c r="L5" s="25" t="s">
        <v>60</v>
      </c>
      <c r="M5" s="25" t="s">
        <v>61</v>
      </c>
      <c r="N5" s="25" t="s">
        <v>62</v>
      </c>
      <c r="O5" s="25" t="s">
        <v>63</v>
      </c>
      <c r="P5" s="26" t="s">
        <v>64</v>
      </c>
      <c r="Q5" s="27" t="str">
        <f t="shared" ref="Q5:W5" si="5">I5-H5</f>
        <v>#VALUE!</v>
      </c>
      <c r="R5" s="27" t="str">
        <f t="shared" si="5"/>
        <v>#VALUE!</v>
      </c>
      <c r="S5" s="27" t="str">
        <f t="shared" si="5"/>
        <v>#VALUE!</v>
      </c>
      <c r="T5" s="27" t="str">
        <f t="shared" si="5"/>
        <v>#VALUE!</v>
      </c>
      <c r="U5" s="27" t="str">
        <f t="shared" si="5"/>
        <v>#VALUE!</v>
      </c>
      <c r="V5" s="27" t="str">
        <f t="shared" si="5"/>
        <v>#VALUE!</v>
      </c>
      <c r="W5" s="28" t="str">
        <f t="shared" si="5"/>
        <v>#VALUE!</v>
      </c>
      <c r="X5" s="27" t="str">
        <f t="shared" si="3"/>
        <v>#VALUE!</v>
      </c>
    </row>
    <row r="6">
      <c r="A6" s="13">
        <v>1.0</v>
      </c>
      <c r="B6" s="29">
        <v>1.11</v>
      </c>
      <c r="C6" s="30">
        <v>1.0</v>
      </c>
      <c r="D6" s="30" t="s">
        <v>24</v>
      </c>
      <c r="E6" s="31" t="s">
        <v>25</v>
      </c>
      <c r="F6" s="30">
        <v>0.0</v>
      </c>
      <c r="G6" s="32">
        <v>2014.0</v>
      </c>
      <c r="H6" s="33" t="s">
        <v>65</v>
      </c>
      <c r="I6" s="33" t="s">
        <v>26</v>
      </c>
      <c r="J6" s="33" t="s">
        <v>66</v>
      </c>
      <c r="K6" s="33" t="s">
        <v>29</v>
      </c>
      <c r="L6" s="33" t="s">
        <v>67</v>
      </c>
      <c r="M6" s="33" t="s">
        <v>68</v>
      </c>
      <c r="N6" s="33" t="s">
        <v>69</v>
      </c>
      <c r="O6" s="33" t="s">
        <v>70</v>
      </c>
      <c r="P6" s="33" t="s">
        <v>71</v>
      </c>
      <c r="Q6" s="19" t="str">
        <f t="shared" ref="Q6:W6" si="6">I6-H6</f>
        <v>#VALUE!</v>
      </c>
      <c r="R6" s="19" t="str">
        <f t="shared" si="6"/>
        <v>#VALUE!</v>
      </c>
      <c r="S6" s="19" t="str">
        <f t="shared" si="6"/>
        <v>#VALUE!</v>
      </c>
      <c r="T6" s="19" t="str">
        <f t="shared" si="6"/>
        <v>#VALUE!</v>
      </c>
      <c r="U6" s="19" t="str">
        <f t="shared" si="6"/>
        <v>#VALUE!</v>
      </c>
      <c r="V6" s="19" t="str">
        <f t="shared" si="6"/>
        <v>#VALUE!</v>
      </c>
      <c r="W6" s="19" t="str">
        <f t="shared" si="6"/>
        <v>#VALUE!</v>
      </c>
      <c r="X6" s="19" t="str">
        <f t="shared" si="3"/>
        <v>#VALUE!</v>
      </c>
    </row>
    <row r="7">
      <c r="A7" s="21" t="s">
        <v>35</v>
      </c>
      <c r="B7" s="34">
        <v>1.11</v>
      </c>
      <c r="C7" s="35"/>
      <c r="D7" s="36" t="s">
        <v>36</v>
      </c>
      <c r="E7" s="36"/>
      <c r="F7" s="35"/>
      <c r="G7" s="1" t="str">
        <f t="shared" ref="G7:G8" si="8">YEAR(H7)</f>
        <v>#VALUE!</v>
      </c>
      <c r="H7" s="37" t="s">
        <v>72</v>
      </c>
      <c r="I7" s="37" t="s">
        <v>73</v>
      </c>
      <c r="J7" s="37" t="s">
        <v>74</v>
      </c>
      <c r="K7" s="37" t="s">
        <v>75</v>
      </c>
      <c r="L7" s="37" t="s">
        <v>76</v>
      </c>
      <c r="M7" s="37" t="s">
        <v>77</v>
      </c>
      <c r="N7" s="37" t="s">
        <v>78</v>
      </c>
      <c r="O7" s="37" t="s">
        <v>79</v>
      </c>
      <c r="P7" s="37">
        <v>6.102017</v>
      </c>
      <c r="Q7" s="27" t="str">
        <f t="shared" ref="Q7:W7" si="7">I7-H7</f>
        <v>#VALUE!</v>
      </c>
      <c r="R7" s="27" t="str">
        <f t="shared" si="7"/>
        <v>#VALUE!</v>
      </c>
      <c r="S7" s="27" t="str">
        <f t="shared" si="7"/>
        <v>#VALUE!</v>
      </c>
      <c r="T7" s="27" t="str">
        <f t="shared" si="7"/>
        <v>#VALUE!</v>
      </c>
      <c r="U7" s="27" t="str">
        <f t="shared" si="7"/>
        <v>#VALUE!</v>
      </c>
      <c r="V7" s="27" t="str">
        <f t="shared" si="7"/>
        <v>#VALUE!</v>
      </c>
      <c r="W7" s="27" t="str">
        <f t="shared" si="7"/>
        <v>#VALUE!</v>
      </c>
      <c r="X7" s="27" t="str">
        <f t="shared" si="3"/>
        <v>#VALUE!</v>
      </c>
    </row>
    <row r="8">
      <c r="A8" s="38" t="s">
        <v>35</v>
      </c>
      <c r="B8" s="22">
        <v>1.17</v>
      </c>
      <c r="C8" s="23"/>
      <c r="D8" s="39" t="s">
        <v>36</v>
      </c>
      <c r="E8" s="39"/>
      <c r="F8" s="23"/>
      <c r="G8" s="24">
        <f t="shared" si="8"/>
        <v>2016</v>
      </c>
      <c r="H8" s="25">
        <v>42687.0</v>
      </c>
      <c r="I8" s="25">
        <v>42702.0</v>
      </c>
      <c r="J8" s="25">
        <v>43087.0</v>
      </c>
      <c r="K8" s="25">
        <v>42754.0</v>
      </c>
      <c r="L8" s="25">
        <v>42782.0</v>
      </c>
      <c r="M8" s="25">
        <v>42814.0</v>
      </c>
      <c r="N8" s="25">
        <v>42839.0</v>
      </c>
      <c r="O8" s="25">
        <v>42862.0</v>
      </c>
      <c r="P8" s="25">
        <v>42886.0</v>
      </c>
      <c r="Q8" s="27">
        <f t="shared" ref="Q8:W8" si="9">I8-H8</f>
        <v>15</v>
      </c>
      <c r="R8" s="28">
        <f t="shared" si="9"/>
        <v>385</v>
      </c>
      <c r="S8" s="28">
        <f t="shared" si="9"/>
        <v>-333</v>
      </c>
      <c r="T8" s="27">
        <f t="shared" si="9"/>
        <v>28</v>
      </c>
      <c r="U8" s="27">
        <f t="shared" si="9"/>
        <v>32</v>
      </c>
      <c r="V8" s="27">
        <f t="shared" si="9"/>
        <v>25</v>
      </c>
      <c r="W8" s="27">
        <f t="shared" si="9"/>
        <v>23</v>
      </c>
      <c r="X8" s="27">
        <f t="shared" si="3"/>
        <v>175</v>
      </c>
    </row>
    <row r="9">
      <c r="A9" s="13">
        <v>1.0</v>
      </c>
      <c r="B9" s="40">
        <v>2.01</v>
      </c>
      <c r="C9" s="41">
        <v>2.0</v>
      </c>
      <c r="D9" s="41" t="s">
        <v>24</v>
      </c>
      <c r="E9" s="41"/>
      <c r="F9" s="41">
        <v>0.0</v>
      </c>
      <c r="G9" s="42">
        <v>2013.0</v>
      </c>
      <c r="H9" s="43" t="s">
        <v>80</v>
      </c>
      <c r="I9" s="43" t="s">
        <v>81</v>
      </c>
      <c r="J9" s="44" t="s">
        <v>82</v>
      </c>
      <c r="K9" s="45" t="s">
        <v>83</v>
      </c>
      <c r="L9" s="45" t="s">
        <v>84</v>
      </c>
      <c r="M9" s="45" t="s">
        <v>85</v>
      </c>
      <c r="N9" s="44" t="s">
        <v>86</v>
      </c>
      <c r="O9" s="45" t="s">
        <v>87</v>
      </c>
      <c r="P9" s="45" t="s">
        <v>88</v>
      </c>
      <c r="Q9" s="19" t="str">
        <f t="shared" ref="Q9:W9" si="10">I9-H9</f>
        <v>#VALUE!</v>
      </c>
      <c r="R9" s="19" t="str">
        <f t="shared" si="10"/>
        <v>#VALUE!</v>
      </c>
      <c r="S9" s="19" t="str">
        <f t="shared" si="10"/>
        <v>#VALUE!</v>
      </c>
      <c r="T9" s="19" t="str">
        <f t="shared" si="10"/>
        <v>#VALUE!</v>
      </c>
      <c r="U9" s="19" t="str">
        <f t="shared" si="10"/>
        <v>#VALUE!</v>
      </c>
      <c r="V9" s="19" t="str">
        <f t="shared" si="10"/>
        <v>#VALUE!</v>
      </c>
      <c r="W9" s="19" t="str">
        <f t="shared" si="10"/>
        <v>#VALUE!</v>
      </c>
      <c r="X9" s="19" t="str">
        <f t="shared" si="3"/>
        <v>#VALUE!</v>
      </c>
    </row>
    <row r="10">
      <c r="A10" s="46">
        <v>1.0</v>
      </c>
      <c r="B10" s="47">
        <v>2.02</v>
      </c>
      <c r="C10" s="48">
        <v>1.0</v>
      </c>
      <c r="D10" s="48" t="s">
        <v>24</v>
      </c>
      <c r="E10" s="48"/>
      <c r="F10" s="48">
        <v>0.0</v>
      </c>
      <c r="G10" s="49">
        <v>2014.0</v>
      </c>
      <c r="H10" s="50" t="s">
        <v>89</v>
      </c>
      <c r="I10" s="50" t="s">
        <v>90</v>
      </c>
      <c r="J10" s="50" t="s">
        <v>91</v>
      </c>
      <c r="K10" s="50" t="s">
        <v>92</v>
      </c>
      <c r="L10" s="46" t="s">
        <v>93</v>
      </c>
      <c r="M10" s="50" t="s">
        <v>94</v>
      </c>
      <c r="N10" s="50" t="s">
        <v>95</v>
      </c>
      <c r="O10" s="50" t="s">
        <v>96</v>
      </c>
      <c r="P10" s="50" t="s">
        <v>97</v>
      </c>
      <c r="Q10" s="51" t="str">
        <f t="shared" ref="Q10:W10" si="11">I10-H10</f>
        <v>#VALUE!</v>
      </c>
      <c r="R10" s="51" t="str">
        <f t="shared" si="11"/>
        <v>#VALUE!</v>
      </c>
      <c r="S10" s="51" t="str">
        <f t="shared" si="11"/>
        <v>#VALUE!</v>
      </c>
      <c r="T10" s="51" t="str">
        <f t="shared" si="11"/>
        <v>#VALUE!</v>
      </c>
      <c r="U10" s="51" t="str">
        <f t="shared" si="11"/>
        <v>#VALUE!</v>
      </c>
      <c r="V10" s="51" t="str">
        <f t="shared" si="11"/>
        <v>#VALUE!</v>
      </c>
      <c r="W10" s="51" t="str">
        <f t="shared" si="11"/>
        <v>#VALUE!</v>
      </c>
      <c r="X10" s="51" t="str">
        <f t="shared" si="3"/>
        <v>#VALUE!</v>
      </c>
      <c r="Y10" s="52">
        <v>1.0</v>
      </c>
    </row>
    <row r="11">
      <c r="A11" s="46">
        <v>1.0</v>
      </c>
      <c r="B11" s="47">
        <v>2.03</v>
      </c>
      <c r="C11" s="48">
        <v>1.0</v>
      </c>
      <c r="D11" s="48" t="s">
        <v>24</v>
      </c>
      <c r="E11" s="48"/>
      <c r="F11" s="48">
        <v>0.0</v>
      </c>
      <c r="G11" s="49">
        <v>2013.0</v>
      </c>
      <c r="H11" s="50" t="s">
        <v>98</v>
      </c>
      <c r="I11" s="50" t="s">
        <v>99</v>
      </c>
      <c r="J11" s="50" t="s">
        <v>100</v>
      </c>
      <c r="K11" s="50" t="s">
        <v>101</v>
      </c>
      <c r="L11" s="50" t="s">
        <v>102</v>
      </c>
      <c r="M11" s="50" t="s">
        <v>103</v>
      </c>
      <c r="N11" s="50" t="s">
        <v>104</v>
      </c>
      <c r="O11" s="50" t="s">
        <v>87</v>
      </c>
      <c r="P11" s="50" t="s">
        <v>105</v>
      </c>
      <c r="Q11" s="51" t="str">
        <f t="shared" ref="Q11:W11" si="12">I11-H11</f>
        <v>#VALUE!</v>
      </c>
      <c r="R11" s="51" t="str">
        <f t="shared" si="12"/>
        <v>#VALUE!</v>
      </c>
      <c r="S11" s="51" t="str">
        <f t="shared" si="12"/>
        <v>#VALUE!</v>
      </c>
      <c r="T11" s="51" t="str">
        <f t="shared" si="12"/>
        <v>#VALUE!</v>
      </c>
      <c r="U11" s="51" t="str">
        <f t="shared" si="12"/>
        <v>#VALUE!</v>
      </c>
      <c r="V11" s="51" t="str">
        <f t="shared" si="12"/>
        <v>#VALUE!</v>
      </c>
      <c r="W11" s="51" t="str">
        <f t="shared" si="12"/>
        <v>#VALUE!</v>
      </c>
      <c r="X11" s="51" t="str">
        <f t="shared" si="3"/>
        <v>#VALUE!</v>
      </c>
      <c r="Y11" s="52">
        <v>2.0</v>
      </c>
    </row>
    <row r="12">
      <c r="A12" s="46">
        <v>1.0</v>
      </c>
      <c r="B12" s="47">
        <v>2.03</v>
      </c>
      <c r="C12" s="48">
        <v>1.0</v>
      </c>
      <c r="D12" s="48" t="s">
        <v>24</v>
      </c>
      <c r="E12" s="48"/>
      <c r="F12" s="48">
        <v>0.0</v>
      </c>
      <c r="G12" s="49">
        <v>2014.0</v>
      </c>
      <c r="H12" s="50" t="s">
        <v>106</v>
      </c>
      <c r="I12" s="50" t="s">
        <v>107</v>
      </c>
      <c r="J12" s="50" t="s">
        <v>108</v>
      </c>
      <c r="K12" s="50" t="s">
        <v>109</v>
      </c>
      <c r="L12" s="50" t="s">
        <v>110</v>
      </c>
      <c r="M12" s="50" t="s">
        <v>111</v>
      </c>
      <c r="N12" s="50" t="s">
        <v>112</v>
      </c>
      <c r="O12" s="50" t="s">
        <v>113</v>
      </c>
      <c r="P12" s="50" t="s">
        <v>114</v>
      </c>
      <c r="Q12" s="51" t="str">
        <f t="shared" ref="Q12:W12" si="13">I12-H12</f>
        <v>#VALUE!</v>
      </c>
      <c r="R12" s="51" t="str">
        <f t="shared" si="13"/>
        <v>#VALUE!</v>
      </c>
      <c r="S12" s="51" t="str">
        <f t="shared" si="13"/>
        <v>#VALUE!</v>
      </c>
      <c r="T12" s="51" t="str">
        <f t="shared" si="13"/>
        <v>#VALUE!</v>
      </c>
      <c r="U12" s="51" t="str">
        <f t="shared" si="13"/>
        <v>#VALUE!</v>
      </c>
      <c r="V12" s="51" t="str">
        <f t="shared" si="13"/>
        <v>#VALUE!</v>
      </c>
      <c r="W12" s="51" t="str">
        <f t="shared" si="13"/>
        <v>#VALUE!</v>
      </c>
      <c r="X12" s="51" t="str">
        <f t="shared" si="3"/>
        <v>#VALUE!</v>
      </c>
      <c r="Y12" s="52">
        <v>3.0</v>
      </c>
    </row>
    <row r="13">
      <c r="A13" s="46">
        <v>1.0</v>
      </c>
      <c r="B13" s="47">
        <v>2.04</v>
      </c>
      <c r="C13" s="48">
        <v>1.0</v>
      </c>
      <c r="D13" s="48" t="s">
        <v>24</v>
      </c>
      <c r="E13" s="48"/>
      <c r="F13" s="48">
        <v>0.0</v>
      </c>
      <c r="G13" s="49">
        <v>2013.0</v>
      </c>
      <c r="H13" s="50" t="s">
        <v>115</v>
      </c>
      <c r="I13" s="50" t="s">
        <v>116</v>
      </c>
      <c r="J13" s="50" t="s">
        <v>117</v>
      </c>
      <c r="K13" s="50" t="s">
        <v>83</v>
      </c>
      <c r="L13" s="50" t="s">
        <v>118</v>
      </c>
      <c r="M13" s="50" t="s">
        <v>119</v>
      </c>
      <c r="N13" s="50" t="s">
        <v>120</v>
      </c>
      <c r="O13" s="50" t="s">
        <v>121</v>
      </c>
      <c r="P13" s="50" t="s">
        <v>88</v>
      </c>
      <c r="Q13" s="51" t="str">
        <f t="shared" ref="Q13:W13" si="14">I13-H13</f>
        <v>#VALUE!</v>
      </c>
      <c r="R13" s="51" t="str">
        <f t="shared" si="14"/>
        <v>#VALUE!</v>
      </c>
      <c r="S13" s="51" t="str">
        <f t="shared" si="14"/>
        <v>#VALUE!</v>
      </c>
      <c r="T13" s="51" t="str">
        <f t="shared" si="14"/>
        <v>#VALUE!</v>
      </c>
      <c r="U13" s="51" t="str">
        <f t="shared" si="14"/>
        <v>#VALUE!</v>
      </c>
      <c r="V13" s="51" t="str">
        <f t="shared" si="14"/>
        <v>#VALUE!</v>
      </c>
      <c r="W13" s="51" t="str">
        <f t="shared" si="14"/>
        <v>#VALUE!</v>
      </c>
      <c r="X13" s="51" t="str">
        <f t="shared" si="3"/>
        <v>#VALUE!</v>
      </c>
      <c r="Y13" s="52">
        <v>4.0</v>
      </c>
    </row>
    <row r="14">
      <c r="A14" s="46">
        <v>1.0</v>
      </c>
      <c r="B14" s="47">
        <v>2.05</v>
      </c>
      <c r="C14" s="48">
        <v>1.0</v>
      </c>
      <c r="D14" s="48" t="s">
        <v>24</v>
      </c>
      <c r="E14" s="48"/>
      <c r="F14" s="48">
        <v>0.0</v>
      </c>
      <c r="G14" s="49">
        <v>2013.0</v>
      </c>
      <c r="H14" s="50" t="s">
        <v>122</v>
      </c>
      <c r="I14" s="50" t="s">
        <v>123</v>
      </c>
      <c r="J14" s="50" t="s">
        <v>56</v>
      </c>
      <c r="K14" s="50" t="s">
        <v>124</v>
      </c>
      <c r="L14" s="50" t="s">
        <v>118</v>
      </c>
      <c r="M14" s="50" t="s">
        <v>119</v>
      </c>
      <c r="N14" s="50" t="s">
        <v>125</v>
      </c>
      <c r="O14" s="50" t="s">
        <v>126</v>
      </c>
      <c r="P14" s="50" t="s">
        <v>127</v>
      </c>
      <c r="Q14" s="51" t="str">
        <f t="shared" ref="Q14:W14" si="15">I14-H14</f>
        <v>#VALUE!</v>
      </c>
      <c r="R14" s="51" t="str">
        <f t="shared" si="15"/>
        <v>#VALUE!</v>
      </c>
      <c r="S14" s="51" t="str">
        <f t="shared" si="15"/>
        <v>#VALUE!</v>
      </c>
      <c r="T14" s="51" t="str">
        <f t="shared" si="15"/>
        <v>#VALUE!</v>
      </c>
      <c r="U14" s="51" t="str">
        <f t="shared" si="15"/>
        <v>#VALUE!</v>
      </c>
      <c r="V14" s="51" t="str">
        <f t="shared" si="15"/>
        <v>#VALUE!</v>
      </c>
      <c r="W14" s="51" t="str">
        <f t="shared" si="15"/>
        <v>#VALUE!</v>
      </c>
      <c r="X14" s="51" t="str">
        <f t="shared" si="3"/>
        <v>#VALUE!</v>
      </c>
      <c r="Y14" s="52">
        <v>5.0</v>
      </c>
    </row>
    <row r="15">
      <c r="A15" s="46" t="s">
        <v>35</v>
      </c>
      <c r="B15" s="47">
        <v>2.06</v>
      </c>
      <c r="C15" s="48"/>
      <c r="D15" s="48" t="s">
        <v>36</v>
      </c>
      <c r="E15" s="48" t="s">
        <v>37</v>
      </c>
      <c r="F15" s="48"/>
      <c r="G15" s="49">
        <f>YEAR(H15)</f>
        <v>2016</v>
      </c>
      <c r="H15" s="50">
        <v>42686.0</v>
      </c>
      <c r="I15" s="50">
        <v>42711.0</v>
      </c>
      <c r="J15" s="50">
        <v>42745.0</v>
      </c>
      <c r="K15" s="50">
        <v>42781.0</v>
      </c>
      <c r="L15" s="50">
        <v>42810.0</v>
      </c>
      <c r="M15" s="50">
        <v>42857.0</v>
      </c>
      <c r="N15" s="50">
        <v>42871.0</v>
      </c>
      <c r="O15" s="50">
        <v>42891.0</v>
      </c>
      <c r="P15" s="50">
        <v>42906.0</v>
      </c>
      <c r="Q15" s="51">
        <f t="shared" ref="Q15:W15" si="16">I15-H15</f>
        <v>25</v>
      </c>
      <c r="R15" s="51">
        <f t="shared" si="16"/>
        <v>34</v>
      </c>
      <c r="S15" s="51">
        <f t="shared" si="16"/>
        <v>36</v>
      </c>
      <c r="T15" s="51">
        <f t="shared" si="16"/>
        <v>29</v>
      </c>
      <c r="U15" s="51">
        <f t="shared" si="16"/>
        <v>47</v>
      </c>
      <c r="V15" s="51">
        <f t="shared" si="16"/>
        <v>14</v>
      </c>
      <c r="W15" s="51">
        <f t="shared" si="16"/>
        <v>20</v>
      </c>
      <c r="X15" s="51">
        <f t="shared" si="3"/>
        <v>205</v>
      </c>
      <c r="Y15" s="52">
        <v>6.0</v>
      </c>
    </row>
    <row r="16">
      <c r="A16" s="21"/>
      <c r="B16" s="53"/>
      <c r="C16" s="54"/>
      <c r="D16" s="55"/>
      <c r="E16" s="55"/>
      <c r="F16" s="54"/>
      <c r="G16" s="56"/>
      <c r="H16" s="57"/>
      <c r="I16" s="57"/>
      <c r="J16" s="57"/>
      <c r="K16" s="57"/>
      <c r="L16" s="57"/>
      <c r="M16" s="57"/>
      <c r="N16" s="57"/>
      <c r="O16" s="57"/>
      <c r="P16" s="57"/>
      <c r="Q16" s="27"/>
      <c r="R16" s="58"/>
      <c r="S16" s="27"/>
      <c r="T16" s="27"/>
      <c r="U16" s="27"/>
      <c r="V16" s="27"/>
      <c r="W16" s="27"/>
      <c r="X16" s="27"/>
    </row>
    <row r="17">
      <c r="A17" s="21"/>
      <c r="B17" s="53"/>
      <c r="C17" s="54"/>
      <c r="D17" s="55"/>
      <c r="E17" s="55"/>
      <c r="F17" s="54"/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27"/>
      <c r="R17" s="27"/>
      <c r="S17" s="27"/>
      <c r="T17" s="27"/>
      <c r="U17" s="27"/>
      <c r="V17" s="27"/>
      <c r="W17" s="27"/>
      <c r="X17" s="27"/>
    </row>
    <row r="18">
      <c r="A18" s="21" t="s">
        <v>35</v>
      </c>
      <c r="B18" s="59">
        <v>3.05</v>
      </c>
      <c r="C18" s="35"/>
      <c r="D18" s="36" t="s">
        <v>36</v>
      </c>
      <c r="E18" s="36" t="s">
        <v>37</v>
      </c>
      <c r="F18" s="35"/>
      <c r="G18" s="56">
        <f>YEAR(H18)</f>
        <v>2016</v>
      </c>
      <c r="H18" s="60">
        <v>42712.0</v>
      </c>
      <c r="I18" s="60">
        <v>42791.0</v>
      </c>
      <c r="J18" s="60">
        <v>42817.0</v>
      </c>
      <c r="K18" s="60">
        <v>42827.0</v>
      </c>
      <c r="L18" s="60">
        <v>42838.0</v>
      </c>
      <c r="M18" s="60">
        <v>42877.0</v>
      </c>
      <c r="N18" s="60">
        <v>42901.0</v>
      </c>
      <c r="O18" s="60">
        <v>42914.0</v>
      </c>
      <c r="P18" s="60">
        <v>42919.0</v>
      </c>
      <c r="Q18" s="27">
        <f t="shared" ref="Q18:W18" si="17">I18-H18</f>
        <v>79</v>
      </c>
      <c r="R18" s="27">
        <f t="shared" si="17"/>
        <v>26</v>
      </c>
      <c r="S18" s="27">
        <f t="shared" si="17"/>
        <v>10</v>
      </c>
      <c r="T18" s="27">
        <f t="shared" si="17"/>
        <v>11</v>
      </c>
      <c r="U18" s="27">
        <f t="shared" si="17"/>
        <v>39</v>
      </c>
      <c r="V18" s="27">
        <f t="shared" si="17"/>
        <v>24</v>
      </c>
      <c r="W18" s="27">
        <f t="shared" si="17"/>
        <v>13</v>
      </c>
      <c r="X18" s="27">
        <f t="shared" ref="X18:X33" si="19">SUM(Q18:W18)</f>
        <v>202</v>
      </c>
    </row>
    <row r="19" ht="14.25" customHeight="1">
      <c r="A19" s="46">
        <v>1.0</v>
      </c>
      <c r="B19" s="47">
        <v>6.01</v>
      </c>
      <c r="C19" s="48">
        <v>1.0</v>
      </c>
      <c r="D19" s="48" t="s">
        <v>24</v>
      </c>
      <c r="E19" s="48" t="s">
        <v>25</v>
      </c>
      <c r="F19" s="48">
        <v>0.0</v>
      </c>
      <c r="G19" s="49">
        <v>2013.0</v>
      </c>
      <c r="H19" s="50">
        <v>41592.0</v>
      </c>
      <c r="I19" s="50">
        <v>41705.0</v>
      </c>
      <c r="J19" s="50">
        <v>41730.0</v>
      </c>
      <c r="K19" s="50">
        <v>41745.0</v>
      </c>
      <c r="L19" s="50">
        <v>41751.0</v>
      </c>
      <c r="M19" s="50">
        <v>41780.0</v>
      </c>
      <c r="N19" s="50">
        <v>41803.0</v>
      </c>
      <c r="O19" s="50">
        <v>41815.0</v>
      </c>
      <c r="P19" s="50">
        <v>41842.0</v>
      </c>
      <c r="Q19" s="51">
        <f t="shared" ref="Q19:W19" si="18">I19-H19</f>
        <v>113</v>
      </c>
      <c r="R19" s="51">
        <f t="shared" si="18"/>
        <v>25</v>
      </c>
      <c r="S19" s="51">
        <f t="shared" si="18"/>
        <v>15</v>
      </c>
      <c r="T19" s="51">
        <f t="shared" si="18"/>
        <v>6</v>
      </c>
      <c r="U19" s="51">
        <f t="shared" si="18"/>
        <v>29</v>
      </c>
      <c r="V19" s="51">
        <f t="shared" si="18"/>
        <v>23</v>
      </c>
      <c r="W19" s="51">
        <f t="shared" si="18"/>
        <v>12</v>
      </c>
      <c r="X19" s="51">
        <f t="shared" si="19"/>
        <v>223</v>
      </c>
      <c r="Y19" s="52">
        <v>7.0</v>
      </c>
    </row>
    <row r="20">
      <c r="A20" s="46">
        <v>1.0</v>
      </c>
      <c r="B20" s="47">
        <v>6.02</v>
      </c>
      <c r="C20" s="48">
        <v>1.0</v>
      </c>
      <c r="D20" s="48" t="s">
        <v>24</v>
      </c>
      <c r="E20" s="48"/>
      <c r="F20" s="48">
        <v>0.0</v>
      </c>
      <c r="G20" s="49">
        <v>2013.0</v>
      </c>
      <c r="H20" s="50" t="s">
        <v>128</v>
      </c>
      <c r="I20" s="50" t="s">
        <v>129</v>
      </c>
      <c r="J20" s="50" t="s">
        <v>130</v>
      </c>
      <c r="K20" s="50" t="s">
        <v>131</v>
      </c>
      <c r="L20" s="50" t="s">
        <v>103</v>
      </c>
      <c r="M20" s="50" t="s">
        <v>132</v>
      </c>
      <c r="N20" s="50" t="s">
        <v>133</v>
      </c>
      <c r="O20" s="50" t="s">
        <v>134</v>
      </c>
      <c r="P20" s="50" t="s">
        <v>135</v>
      </c>
      <c r="Q20" s="51" t="str">
        <f t="shared" ref="Q20:W20" si="20">I20-H20</f>
        <v>#VALUE!</v>
      </c>
      <c r="R20" s="51" t="str">
        <f t="shared" si="20"/>
        <v>#VALUE!</v>
      </c>
      <c r="S20" s="51" t="str">
        <f t="shared" si="20"/>
        <v>#VALUE!</v>
      </c>
      <c r="T20" s="51" t="str">
        <f t="shared" si="20"/>
        <v>#VALUE!</v>
      </c>
      <c r="U20" s="51" t="str">
        <f t="shared" si="20"/>
        <v>#VALUE!</v>
      </c>
      <c r="V20" s="51" t="str">
        <f t="shared" si="20"/>
        <v>#VALUE!</v>
      </c>
      <c r="W20" s="51" t="str">
        <f t="shared" si="20"/>
        <v>#VALUE!</v>
      </c>
      <c r="X20" s="51" t="str">
        <f t="shared" si="19"/>
        <v>#VALUE!</v>
      </c>
      <c r="Y20" s="52">
        <v>8.0</v>
      </c>
    </row>
    <row r="21">
      <c r="A21" s="46" t="s">
        <v>35</v>
      </c>
      <c r="B21" s="47">
        <v>6.02</v>
      </c>
      <c r="C21" s="48"/>
      <c r="D21" s="48" t="s">
        <v>36</v>
      </c>
      <c r="E21" s="48"/>
      <c r="F21" s="48"/>
      <c r="G21" s="49">
        <v>2016.0</v>
      </c>
      <c r="H21" s="50">
        <v>42636.0</v>
      </c>
      <c r="I21" s="50">
        <v>42799.0</v>
      </c>
      <c r="J21" s="50">
        <v>42820.0</v>
      </c>
      <c r="K21" s="50">
        <v>42841.0</v>
      </c>
      <c r="L21" s="50">
        <v>42850.0</v>
      </c>
      <c r="M21" s="50">
        <v>42882.0</v>
      </c>
      <c r="N21" s="50">
        <v>42892.0</v>
      </c>
      <c r="O21" s="50">
        <v>42925.0</v>
      </c>
      <c r="P21" s="50">
        <v>42940.0</v>
      </c>
      <c r="Q21" s="51">
        <f t="shared" ref="Q21:W21" si="21">I21-H21</f>
        <v>163</v>
      </c>
      <c r="R21" s="51">
        <f t="shared" si="21"/>
        <v>21</v>
      </c>
      <c r="S21" s="51">
        <f t="shared" si="21"/>
        <v>21</v>
      </c>
      <c r="T21" s="51">
        <f t="shared" si="21"/>
        <v>9</v>
      </c>
      <c r="U21" s="51">
        <f t="shared" si="21"/>
        <v>32</v>
      </c>
      <c r="V21" s="51">
        <f t="shared" si="21"/>
        <v>10</v>
      </c>
      <c r="W21" s="51">
        <f t="shared" si="21"/>
        <v>33</v>
      </c>
      <c r="X21" s="51">
        <f t="shared" si="19"/>
        <v>289</v>
      </c>
      <c r="Y21" s="52">
        <v>9.0</v>
      </c>
    </row>
    <row r="22">
      <c r="A22" s="21" t="s">
        <v>35</v>
      </c>
      <c r="B22" s="61">
        <v>6.12</v>
      </c>
      <c r="C22" s="35"/>
      <c r="D22" s="36" t="s">
        <v>36</v>
      </c>
      <c r="E22" s="36"/>
      <c r="F22" s="35"/>
      <c r="G22" s="32">
        <v>2013.0</v>
      </c>
      <c r="H22" s="62">
        <v>42659.0</v>
      </c>
      <c r="I22" s="62">
        <v>42803.0</v>
      </c>
      <c r="J22" s="62">
        <v>42823.0</v>
      </c>
      <c r="K22" s="62">
        <v>42845.0</v>
      </c>
      <c r="L22" s="62">
        <v>42862.0</v>
      </c>
      <c r="M22" s="62">
        <v>42877.0</v>
      </c>
      <c r="N22" s="62">
        <v>42892.0</v>
      </c>
      <c r="O22" s="62">
        <v>42914.0</v>
      </c>
      <c r="P22" s="62">
        <v>42966.0</v>
      </c>
      <c r="Q22" s="27">
        <f t="shared" ref="Q22:W22" si="22">I22-H22</f>
        <v>144</v>
      </c>
      <c r="R22" s="27">
        <f t="shared" si="22"/>
        <v>20</v>
      </c>
      <c r="S22" s="27">
        <f t="shared" si="22"/>
        <v>22</v>
      </c>
      <c r="T22" s="27">
        <f t="shared" si="22"/>
        <v>17</v>
      </c>
      <c r="U22" s="27">
        <f t="shared" si="22"/>
        <v>15</v>
      </c>
      <c r="V22" s="27">
        <f t="shared" si="22"/>
        <v>15</v>
      </c>
      <c r="W22" s="27">
        <f t="shared" si="22"/>
        <v>22</v>
      </c>
      <c r="X22" s="27">
        <f t="shared" si="19"/>
        <v>255</v>
      </c>
    </row>
    <row r="23">
      <c r="A23" s="13">
        <v>1.0</v>
      </c>
      <c r="B23" s="63">
        <v>9.04</v>
      </c>
      <c r="C23" s="30">
        <v>2.0</v>
      </c>
      <c r="D23" s="30" t="s">
        <v>24</v>
      </c>
      <c r="E23" s="30"/>
      <c r="F23" s="30">
        <v>1.0</v>
      </c>
      <c r="G23" s="64">
        <v>2014.0</v>
      </c>
      <c r="H23" s="18" t="s">
        <v>136</v>
      </c>
      <c r="I23" s="18" t="s">
        <v>137</v>
      </c>
      <c r="J23" s="18" t="s">
        <v>138</v>
      </c>
      <c r="K23" s="18" t="s">
        <v>139</v>
      </c>
      <c r="L23" s="18" t="s">
        <v>140</v>
      </c>
      <c r="M23" s="18" t="s">
        <v>141</v>
      </c>
      <c r="N23" s="18" t="s">
        <v>142</v>
      </c>
      <c r="O23" s="18" t="s">
        <v>143</v>
      </c>
      <c r="P23" s="18" t="s">
        <v>144</v>
      </c>
      <c r="Q23" s="19" t="str">
        <f t="shared" ref="Q23:W23" si="23">I23-H23</f>
        <v>#VALUE!</v>
      </c>
      <c r="R23" s="19" t="str">
        <f t="shared" si="23"/>
        <v>#VALUE!</v>
      </c>
      <c r="S23" s="19" t="str">
        <f t="shared" si="23"/>
        <v>#VALUE!</v>
      </c>
      <c r="T23" s="19" t="str">
        <f t="shared" si="23"/>
        <v>#VALUE!</v>
      </c>
      <c r="U23" s="19" t="str">
        <f t="shared" si="23"/>
        <v>#VALUE!</v>
      </c>
      <c r="V23" s="19" t="str">
        <f t="shared" si="23"/>
        <v>#VALUE!</v>
      </c>
      <c r="W23" s="19" t="str">
        <f t="shared" si="23"/>
        <v>#VALUE!</v>
      </c>
      <c r="X23" s="19" t="str">
        <f t="shared" si="19"/>
        <v>#VALUE!</v>
      </c>
    </row>
    <row r="24">
      <c r="A24" s="13">
        <v>1.0</v>
      </c>
      <c r="B24" s="63">
        <v>9.05</v>
      </c>
      <c r="C24" s="30">
        <v>1.0</v>
      </c>
      <c r="D24" s="30" t="s">
        <v>24</v>
      </c>
      <c r="E24" s="30"/>
      <c r="F24" s="30">
        <v>1.0</v>
      </c>
      <c r="G24" s="32">
        <v>2013.0</v>
      </c>
      <c r="H24" s="18" t="s">
        <v>145</v>
      </c>
      <c r="I24" s="18" t="s">
        <v>146</v>
      </c>
      <c r="J24" s="18" t="s">
        <v>147</v>
      </c>
      <c r="K24" s="18" t="s">
        <v>148</v>
      </c>
      <c r="L24" s="18" t="s">
        <v>149</v>
      </c>
      <c r="M24" s="18" t="s">
        <v>150</v>
      </c>
      <c r="N24" s="18" t="s">
        <v>151</v>
      </c>
      <c r="O24" s="18" t="s">
        <v>152</v>
      </c>
      <c r="P24" s="18" t="s">
        <v>144</v>
      </c>
      <c r="Q24" s="19" t="str">
        <f t="shared" ref="Q24:W24" si="24">I24-H24</f>
        <v>#VALUE!</v>
      </c>
      <c r="R24" s="19" t="str">
        <f t="shared" si="24"/>
        <v>#VALUE!</v>
      </c>
      <c r="S24" s="19" t="str">
        <f t="shared" si="24"/>
        <v>#VALUE!</v>
      </c>
      <c r="T24" s="19" t="str">
        <f t="shared" si="24"/>
        <v>#VALUE!</v>
      </c>
      <c r="U24" s="19" t="str">
        <f t="shared" si="24"/>
        <v>#VALUE!</v>
      </c>
      <c r="V24" s="19" t="str">
        <f t="shared" si="24"/>
        <v>#VALUE!</v>
      </c>
      <c r="W24" s="19" t="str">
        <f t="shared" si="24"/>
        <v>#VALUE!</v>
      </c>
      <c r="X24" s="19" t="str">
        <f t="shared" si="19"/>
        <v>#VALUE!</v>
      </c>
    </row>
    <row r="25">
      <c r="A25" s="46" t="s">
        <v>35</v>
      </c>
      <c r="B25" s="47">
        <v>11.03</v>
      </c>
      <c r="C25" s="48"/>
      <c r="D25" s="48" t="s">
        <v>36</v>
      </c>
      <c r="E25" s="48"/>
      <c r="F25" s="48"/>
      <c r="G25" s="49">
        <v>2016.0</v>
      </c>
      <c r="H25" s="50">
        <v>42701.0</v>
      </c>
      <c r="I25" s="50">
        <v>42750.0</v>
      </c>
      <c r="J25" s="50">
        <v>42778.0</v>
      </c>
      <c r="K25" s="50">
        <v>42798.0</v>
      </c>
      <c r="L25" s="50">
        <v>42826.0</v>
      </c>
      <c r="M25" s="50">
        <v>42865.0</v>
      </c>
      <c r="N25" s="50">
        <v>42886.0</v>
      </c>
      <c r="O25" s="50">
        <v>42911.0</v>
      </c>
      <c r="P25" s="50">
        <v>42926.0</v>
      </c>
      <c r="Q25" s="51">
        <f t="shared" ref="Q25:W25" si="25">I25-H25</f>
        <v>49</v>
      </c>
      <c r="R25" s="51">
        <f t="shared" si="25"/>
        <v>28</v>
      </c>
      <c r="S25" s="51">
        <f t="shared" si="25"/>
        <v>20</v>
      </c>
      <c r="T25" s="51">
        <f t="shared" si="25"/>
        <v>28</v>
      </c>
      <c r="U25" s="51">
        <f t="shared" si="25"/>
        <v>39</v>
      </c>
      <c r="V25" s="51">
        <f t="shared" si="25"/>
        <v>21</v>
      </c>
      <c r="W25" s="51">
        <f t="shared" si="25"/>
        <v>25</v>
      </c>
      <c r="X25" s="51">
        <f t="shared" si="19"/>
        <v>210</v>
      </c>
      <c r="Y25" s="52">
        <v>10.0</v>
      </c>
    </row>
    <row r="26">
      <c r="A26" s="21" t="s">
        <v>35</v>
      </c>
      <c r="B26" s="59">
        <v>14.01</v>
      </c>
      <c r="C26" s="35"/>
      <c r="D26" s="36" t="s">
        <v>36</v>
      </c>
      <c r="E26" s="36"/>
      <c r="F26" s="35"/>
      <c r="G26" s="1">
        <f>YEAR(H26)</f>
        <v>2016</v>
      </c>
      <c r="H26" s="65">
        <v>42667.0</v>
      </c>
      <c r="I26" s="65">
        <v>42693.0</v>
      </c>
      <c r="J26" s="65">
        <v>42710.0</v>
      </c>
      <c r="K26" s="65">
        <v>42799.0</v>
      </c>
      <c r="L26" s="65">
        <v>42812.0</v>
      </c>
      <c r="M26" s="65">
        <v>42849.0</v>
      </c>
      <c r="N26" s="65">
        <v>42883.0</v>
      </c>
      <c r="O26" s="65">
        <v>42900.0</v>
      </c>
      <c r="P26" s="65">
        <v>42916.0</v>
      </c>
      <c r="Q26" s="27">
        <f t="shared" ref="Q26:W26" si="26">I26-H26</f>
        <v>26</v>
      </c>
      <c r="R26" s="27">
        <f t="shared" si="26"/>
        <v>17</v>
      </c>
      <c r="S26" s="27">
        <f t="shared" si="26"/>
        <v>89</v>
      </c>
      <c r="T26" s="27">
        <f t="shared" si="26"/>
        <v>13</v>
      </c>
      <c r="U26" s="27">
        <f t="shared" si="26"/>
        <v>37</v>
      </c>
      <c r="V26" s="27">
        <f t="shared" si="26"/>
        <v>34</v>
      </c>
      <c r="W26" s="27">
        <f t="shared" si="26"/>
        <v>17</v>
      </c>
      <c r="X26" s="27">
        <f t="shared" si="19"/>
        <v>233</v>
      </c>
    </row>
    <row r="27">
      <c r="A27" s="66">
        <v>1.0</v>
      </c>
      <c r="B27" s="29">
        <v>17.01</v>
      </c>
      <c r="C27" s="30">
        <v>1.0</v>
      </c>
      <c r="D27" s="30" t="s">
        <v>24</v>
      </c>
      <c r="E27" s="30"/>
      <c r="F27" s="30">
        <v>1.0</v>
      </c>
      <c r="G27" s="32">
        <v>2013.0</v>
      </c>
      <c r="H27" s="18" t="s">
        <v>98</v>
      </c>
      <c r="I27" s="18" t="s">
        <v>153</v>
      </c>
      <c r="J27" s="18" t="s">
        <v>154</v>
      </c>
      <c r="K27" s="18" t="s">
        <v>155</v>
      </c>
      <c r="L27" s="18" t="s">
        <v>156</v>
      </c>
      <c r="M27" s="18" t="s">
        <v>157</v>
      </c>
      <c r="N27" s="18" t="s">
        <v>158</v>
      </c>
      <c r="O27" s="18" t="s">
        <v>159</v>
      </c>
      <c r="P27" s="18" t="s">
        <v>160</v>
      </c>
      <c r="Q27" s="19" t="str">
        <f t="shared" ref="Q27:W27" si="27">I27-H27</f>
        <v>#VALUE!</v>
      </c>
      <c r="R27" s="19" t="str">
        <f t="shared" si="27"/>
        <v>#VALUE!</v>
      </c>
      <c r="S27" s="19" t="str">
        <f t="shared" si="27"/>
        <v>#VALUE!</v>
      </c>
      <c r="T27" s="19" t="str">
        <f t="shared" si="27"/>
        <v>#VALUE!</v>
      </c>
      <c r="U27" s="19" t="str">
        <f t="shared" si="27"/>
        <v>#VALUE!</v>
      </c>
      <c r="V27" s="19" t="str">
        <f t="shared" si="27"/>
        <v>#VALUE!</v>
      </c>
      <c r="W27" s="19" t="str">
        <f t="shared" si="27"/>
        <v>#VALUE!</v>
      </c>
      <c r="X27" s="19" t="str">
        <f t="shared" si="19"/>
        <v>#VALUE!</v>
      </c>
    </row>
    <row r="28">
      <c r="A28" s="46">
        <v>1.0</v>
      </c>
      <c r="B28" s="47">
        <v>17.02</v>
      </c>
      <c r="C28" s="48">
        <v>1.0</v>
      </c>
      <c r="D28" s="48" t="s">
        <v>24</v>
      </c>
      <c r="E28" s="48"/>
      <c r="F28" s="48">
        <v>0.0</v>
      </c>
      <c r="G28" s="49">
        <v>2014.0</v>
      </c>
      <c r="H28" s="67">
        <v>41925.0</v>
      </c>
      <c r="I28" s="50">
        <v>42365.0</v>
      </c>
      <c r="J28" s="50">
        <v>42021.0</v>
      </c>
      <c r="K28" s="50">
        <v>42064.0</v>
      </c>
      <c r="L28" s="50">
        <v>42083.0</v>
      </c>
      <c r="M28" s="50">
        <v>42129.0</v>
      </c>
      <c r="N28" s="50">
        <v>42137.0</v>
      </c>
      <c r="O28" s="50">
        <v>42160.0</v>
      </c>
      <c r="P28" s="50">
        <v>42199.0</v>
      </c>
      <c r="Q28" s="51">
        <f t="shared" ref="Q28:W28" si="28">I28-H28</f>
        <v>440</v>
      </c>
      <c r="R28" s="51">
        <f t="shared" si="28"/>
        <v>-344</v>
      </c>
      <c r="S28" s="51">
        <f t="shared" si="28"/>
        <v>43</v>
      </c>
      <c r="T28" s="51">
        <f t="shared" si="28"/>
        <v>19</v>
      </c>
      <c r="U28" s="51">
        <f t="shared" si="28"/>
        <v>46</v>
      </c>
      <c r="V28" s="51">
        <f t="shared" si="28"/>
        <v>8</v>
      </c>
      <c r="W28" s="51">
        <f t="shared" si="28"/>
        <v>23</v>
      </c>
      <c r="X28" s="51">
        <f t="shared" si="19"/>
        <v>235</v>
      </c>
      <c r="Y28" s="52">
        <v>11.0</v>
      </c>
    </row>
    <row r="29">
      <c r="A29" s="21" t="s">
        <v>35</v>
      </c>
      <c r="B29" s="68">
        <v>18.04</v>
      </c>
      <c r="C29" s="35"/>
      <c r="D29" s="36" t="s">
        <v>36</v>
      </c>
      <c r="E29" s="36"/>
      <c r="F29" s="35"/>
      <c r="G29" s="1">
        <f t="shared" ref="G29:G30" si="30">YEAR(H29)</f>
        <v>2016</v>
      </c>
      <c r="H29" s="65">
        <v>42665.0</v>
      </c>
      <c r="I29" s="65">
        <v>42791.0</v>
      </c>
      <c r="J29" s="69">
        <v>42802.0</v>
      </c>
      <c r="K29" s="65">
        <v>42842.0</v>
      </c>
      <c r="L29" s="65">
        <v>42858.0</v>
      </c>
      <c r="M29" s="65">
        <v>42892.0</v>
      </c>
      <c r="N29" s="65">
        <v>42904.0</v>
      </c>
      <c r="O29" s="65">
        <v>42931.0</v>
      </c>
      <c r="P29" s="65">
        <v>42950.0</v>
      </c>
      <c r="Q29" s="27">
        <f t="shared" ref="Q29:W29" si="29">I29-H29</f>
        <v>126</v>
      </c>
      <c r="R29" s="27">
        <f t="shared" si="29"/>
        <v>11</v>
      </c>
      <c r="S29" s="27">
        <f t="shared" si="29"/>
        <v>40</v>
      </c>
      <c r="T29" s="27">
        <f t="shared" si="29"/>
        <v>16</v>
      </c>
      <c r="U29" s="27">
        <f t="shared" si="29"/>
        <v>34</v>
      </c>
      <c r="V29" s="27">
        <f t="shared" si="29"/>
        <v>12</v>
      </c>
      <c r="W29" s="27">
        <f t="shared" si="29"/>
        <v>27</v>
      </c>
      <c r="X29" s="27">
        <f t="shared" si="19"/>
        <v>266</v>
      </c>
    </row>
    <row r="30">
      <c r="A30" s="46" t="s">
        <v>35</v>
      </c>
      <c r="B30" s="47">
        <v>19.02</v>
      </c>
      <c r="C30" s="48"/>
      <c r="D30" s="48" t="s">
        <v>36</v>
      </c>
      <c r="E30" s="48"/>
      <c r="F30" s="48"/>
      <c r="G30" s="49">
        <f t="shared" si="30"/>
        <v>2016</v>
      </c>
      <c r="H30" s="50">
        <v>42696.0</v>
      </c>
      <c r="I30" s="50">
        <v>42791.0</v>
      </c>
      <c r="J30" s="50">
        <v>42809.0</v>
      </c>
      <c r="K30" s="50">
        <v>42828.0</v>
      </c>
      <c r="L30" s="50">
        <v>42844.0</v>
      </c>
      <c r="M30" s="50">
        <v>42869.0</v>
      </c>
      <c r="N30" s="50">
        <v>42882.0</v>
      </c>
      <c r="O30" s="50">
        <v>42896.0</v>
      </c>
      <c r="P30" s="50">
        <v>42919.0</v>
      </c>
      <c r="Q30" s="51">
        <f t="shared" ref="Q30:W30" si="31">I30-H30</f>
        <v>95</v>
      </c>
      <c r="R30" s="51">
        <f t="shared" si="31"/>
        <v>18</v>
      </c>
      <c r="S30" s="51">
        <f t="shared" si="31"/>
        <v>19</v>
      </c>
      <c r="T30" s="51">
        <f t="shared" si="31"/>
        <v>16</v>
      </c>
      <c r="U30" s="51">
        <f t="shared" si="31"/>
        <v>25</v>
      </c>
      <c r="V30" s="51">
        <f t="shared" si="31"/>
        <v>13</v>
      </c>
      <c r="W30" s="51">
        <f t="shared" si="31"/>
        <v>14</v>
      </c>
      <c r="X30" s="51">
        <f t="shared" si="19"/>
        <v>200</v>
      </c>
      <c r="Y30" s="52">
        <v>12.0</v>
      </c>
    </row>
    <row r="31">
      <c r="A31" s="70">
        <v>1.0</v>
      </c>
      <c r="B31" s="59">
        <v>21.02</v>
      </c>
      <c r="C31" s="35">
        <v>2.0</v>
      </c>
      <c r="D31" s="35" t="s">
        <v>24</v>
      </c>
      <c r="E31" s="35"/>
      <c r="F31" s="35">
        <v>0.0</v>
      </c>
      <c r="G31" s="1">
        <v>2013.0</v>
      </c>
      <c r="H31" s="71" t="s">
        <v>161</v>
      </c>
      <c r="I31" s="71" t="s">
        <v>162</v>
      </c>
      <c r="J31" s="71" t="s">
        <v>163</v>
      </c>
      <c r="K31" s="65">
        <v>41673.0</v>
      </c>
      <c r="L31" s="65">
        <v>41689.0</v>
      </c>
      <c r="M31" s="65">
        <v>41755.0</v>
      </c>
      <c r="N31" s="65">
        <v>41788.0</v>
      </c>
      <c r="O31" s="65">
        <v>41802.0</v>
      </c>
      <c r="P31" s="65">
        <v>41829.0</v>
      </c>
      <c r="Q31" s="27" t="str">
        <f t="shared" ref="Q31:W31" si="32">I31-H31</f>
        <v>#VALUE!</v>
      </c>
      <c r="R31" s="27" t="str">
        <f t="shared" si="32"/>
        <v>#VALUE!</v>
      </c>
      <c r="S31" s="27" t="str">
        <f t="shared" si="32"/>
        <v>#VALUE!</v>
      </c>
      <c r="T31" s="27">
        <f t="shared" si="32"/>
        <v>16</v>
      </c>
      <c r="U31" s="27">
        <f t="shared" si="32"/>
        <v>66</v>
      </c>
      <c r="V31" s="27">
        <f t="shared" si="32"/>
        <v>33</v>
      </c>
      <c r="W31" s="27">
        <f t="shared" si="32"/>
        <v>14</v>
      </c>
      <c r="X31" s="27" t="str">
        <f t="shared" si="19"/>
        <v>#VALUE!</v>
      </c>
    </row>
    <row r="32">
      <c r="A32" s="72">
        <v>1.0</v>
      </c>
      <c r="B32" s="29">
        <v>21.05</v>
      </c>
      <c r="C32" s="30">
        <v>1.0</v>
      </c>
      <c r="D32" s="30" t="s">
        <v>24</v>
      </c>
      <c r="E32" s="30"/>
      <c r="F32" s="30">
        <v>0.0</v>
      </c>
      <c r="G32" s="32">
        <v>2013.0</v>
      </c>
      <c r="H32" s="73" t="s">
        <v>164</v>
      </c>
      <c r="I32" s="73" t="s">
        <v>165</v>
      </c>
      <c r="J32" s="73" t="s">
        <v>117</v>
      </c>
      <c r="K32" s="73" t="s">
        <v>166</v>
      </c>
      <c r="L32" s="73" t="s">
        <v>167</v>
      </c>
      <c r="M32" s="73" t="s">
        <v>168</v>
      </c>
      <c r="N32" s="74">
        <v>41774.0</v>
      </c>
      <c r="O32" s="74">
        <v>41789.0</v>
      </c>
      <c r="P32" s="75">
        <v>41808.0</v>
      </c>
      <c r="Q32" s="19" t="str">
        <f t="shared" ref="Q32:W32" si="33">I32-H32</f>
        <v>#VALUE!</v>
      </c>
      <c r="R32" s="19" t="str">
        <f t="shared" si="33"/>
        <v>#VALUE!</v>
      </c>
      <c r="S32" s="19" t="str">
        <f t="shared" si="33"/>
        <v>#VALUE!</v>
      </c>
      <c r="T32" s="19" t="str">
        <f t="shared" si="33"/>
        <v>#VALUE!</v>
      </c>
      <c r="U32" s="19" t="str">
        <f t="shared" si="33"/>
        <v>#VALUE!</v>
      </c>
      <c r="V32" s="19" t="str">
        <f t="shared" si="33"/>
        <v>#VALUE!</v>
      </c>
      <c r="W32" s="19">
        <f t="shared" si="33"/>
        <v>15</v>
      </c>
      <c r="X32" s="19" t="str">
        <f t="shared" si="19"/>
        <v>#VALUE!</v>
      </c>
    </row>
    <row r="33">
      <c r="A33" s="46">
        <v>1.0</v>
      </c>
      <c r="B33" s="47">
        <v>21.06</v>
      </c>
      <c r="C33" s="48">
        <v>2.0</v>
      </c>
      <c r="D33" s="48" t="s">
        <v>24</v>
      </c>
      <c r="E33" s="48"/>
      <c r="F33" s="48">
        <v>0.0</v>
      </c>
      <c r="G33" s="49">
        <v>2013.0</v>
      </c>
      <c r="H33" s="50" t="s">
        <v>153</v>
      </c>
      <c r="I33" s="50">
        <v>41669.0</v>
      </c>
      <c r="J33" s="50" t="s">
        <v>169</v>
      </c>
      <c r="K33" s="50" t="s">
        <v>170</v>
      </c>
      <c r="L33" s="50" t="s">
        <v>171</v>
      </c>
      <c r="M33" s="50">
        <v>41764.0</v>
      </c>
      <c r="N33" s="50" t="s">
        <v>121</v>
      </c>
      <c r="O33" s="50">
        <v>41802.0</v>
      </c>
      <c r="P33" s="50">
        <v>41816.0</v>
      </c>
      <c r="Q33" s="51" t="str">
        <f t="shared" ref="Q33:W33" si="34">I33-H33</f>
        <v>#VALUE!</v>
      </c>
      <c r="R33" s="51" t="str">
        <f t="shared" si="34"/>
        <v>#VALUE!</v>
      </c>
      <c r="S33" s="51" t="str">
        <f t="shared" si="34"/>
        <v>#VALUE!</v>
      </c>
      <c r="T33" s="51" t="str">
        <f t="shared" si="34"/>
        <v>#VALUE!</v>
      </c>
      <c r="U33" s="51" t="str">
        <f t="shared" si="34"/>
        <v>#VALUE!</v>
      </c>
      <c r="V33" s="51" t="str">
        <f t="shared" si="34"/>
        <v>#VALUE!</v>
      </c>
      <c r="W33" s="51" t="str">
        <f t="shared" si="34"/>
        <v>#VALUE!</v>
      </c>
      <c r="X33" s="51" t="str">
        <f t="shared" si="19"/>
        <v>#VALUE!</v>
      </c>
      <c r="Y33" s="52">
        <v>13.0</v>
      </c>
    </row>
    <row r="34">
      <c r="A34" s="70"/>
      <c r="B34" s="59"/>
      <c r="C34" s="35"/>
      <c r="D34" s="35"/>
      <c r="E34" s="35"/>
      <c r="F34" s="35"/>
      <c r="G34" s="1"/>
      <c r="H34" s="71"/>
      <c r="I34" s="71"/>
      <c r="J34" s="71"/>
      <c r="K34" s="71"/>
      <c r="L34" s="71"/>
      <c r="M34" s="71"/>
      <c r="N34" s="71"/>
      <c r="O34" s="71"/>
      <c r="P34" s="71"/>
      <c r="Q34" s="27"/>
      <c r="R34" s="27"/>
      <c r="S34" s="27"/>
      <c r="T34" s="27"/>
      <c r="U34" s="27"/>
      <c r="V34" s="27"/>
      <c r="W34" s="27"/>
      <c r="X34" s="27"/>
    </row>
    <row r="35">
      <c r="A35" s="70">
        <v>1.0</v>
      </c>
      <c r="B35" s="76">
        <v>22.01</v>
      </c>
      <c r="C35" s="77">
        <v>1.0</v>
      </c>
      <c r="D35" s="77" t="s">
        <v>24</v>
      </c>
      <c r="E35" s="77"/>
      <c r="F35" s="77">
        <v>1.0</v>
      </c>
      <c r="G35" s="78">
        <v>2013.0</v>
      </c>
      <c r="H35" s="25" t="s">
        <v>172</v>
      </c>
      <c r="I35" s="25" t="s">
        <v>173</v>
      </c>
      <c r="J35" s="25" t="s">
        <v>164</v>
      </c>
      <c r="K35" s="25" t="s">
        <v>174</v>
      </c>
      <c r="L35" s="25" t="s">
        <v>169</v>
      </c>
      <c r="M35" s="25" t="s">
        <v>119</v>
      </c>
      <c r="N35" s="25" t="s">
        <v>175</v>
      </c>
      <c r="O35" s="25" t="s">
        <v>176</v>
      </c>
      <c r="P35" s="25" t="s">
        <v>177</v>
      </c>
      <c r="Q35" s="58" t="str">
        <f t="shared" ref="Q35:W35" si="35">I35-H35</f>
        <v>#VALUE!</v>
      </c>
      <c r="R35" s="27" t="str">
        <f t="shared" si="35"/>
        <v>#VALUE!</v>
      </c>
      <c r="S35" s="27" t="str">
        <f t="shared" si="35"/>
        <v>#VALUE!</v>
      </c>
      <c r="T35" s="27" t="str">
        <f t="shared" si="35"/>
        <v>#VALUE!</v>
      </c>
      <c r="U35" s="27" t="str">
        <f t="shared" si="35"/>
        <v>#VALUE!</v>
      </c>
      <c r="V35" s="27" t="str">
        <f t="shared" si="35"/>
        <v>#VALUE!</v>
      </c>
      <c r="W35" s="27" t="str">
        <f t="shared" si="35"/>
        <v>#VALUE!</v>
      </c>
      <c r="X35" s="27" t="str">
        <f t="shared" ref="X35:X42" si="37">SUM(Q35:W35)</f>
        <v>#VALUE!</v>
      </c>
    </row>
    <row r="36">
      <c r="A36" s="70">
        <v>1.0</v>
      </c>
      <c r="B36" s="59">
        <v>22.02</v>
      </c>
      <c r="C36" s="35">
        <v>1.0</v>
      </c>
      <c r="D36" s="35" t="s">
        <v>24</v>
      </c>
      <c r="E36" s="35" t="s">
        <v>37</v>
      </c>
      <c r="F36" s="35">
        <v>1.0</v>
      </c>
      <c r="G36" s="1">
        <v>2013.0</v>
      </c>
      <c r="H36" s="71" t="s">
        <v>172</v>
      </c>
      <c r="I36" s="71" t="s">
        <v>178</v>
      </c>
      <c r="J36" s="71" t="s">
        <v>81</v>
      </c>
      <c r="K36" s="71" t="s">
        <v>179</v>
      </c>
      <c r="L36" s="71" t="s">
        <v>130</v>
      </c>
      <c r="M36" s="79">
        <v>41753.0</v>
      </c>
      <c r="N36" s="65">
        <v>41761.0</v>
      </c>
      <c r="O36" s="65">
        <v>41790.0</v>
      </c>
      <c r="P36" s="65">
        <v>41820.0</v>
      </c>
      <c r="Q36" s="27" t="str">
        <f t="shared" ref="Q36:W36" si="36">I36-H36</f>
        <v>#VALUE!</v>
      </c>
      <c r="R36" s="27" t="str">
        <f t="shared" si="36"/>
        <v>#VALUE!</v>
      </c>
      <c r="S36" s="27" t="str">
        <f t="shared" si="36"/>
        <v>#VALUE!</v>
      </c>
      <c r="T36" s="27" t="str">
        <f t="shared" si="36"/>
        <v>#VALUE!</v>
      </c>
      <c r="U36" s="27" t="str">
        <f t="shared" si="36"/>
        <v>#VALUE!</v>
      </c>
      <c r="V36" s="27">
        <f t="shared" si="36"/>
        <v>8</v>
      </c>
      <c r="W36" s="27">
        <f t="shared" si="36"/>
        <v>29</v>
      </c>
      <c r="X36" s="27" t="str">
        <f t="shared" si="37"/>
        <v>#VALUE!</v>
      </c>
    </row>
    <row r="37">
      <c r="A37" s="70">
        <v>1.0</v>
      </c>
      <c r="B37" s="59">
        <v>22.03</v>
      </c>
      <c r="C37" s="35">
        <v>1.0</v>
      </c>
      <c r="D37" s="35" t="s">
        <v>24</v>
      </c>
      <c r="E37" s="35"/>
      <c r="F37" s="35">
        <v>1.0</v>
      </c>
      <c r="G37" s="1">
        <v>2013.0</v>
      </c>
      <c r="H37" s="25" t="s">
        <v>172</v>
      </c>
      <c r="I37" s="25" t="s">
        <v>173</v>
      </c>
      <c r="J37" s="25" t="s">
        <v>180</v>
      </c>
      <c r="K37" s="25" t="s">
        <v>181</v>
      </c>
      <c r="L37" s="25" t="s">
        <v>182</v>
      </c>
      <c r="M37" s="25" t="s">
        <v>86</v>
      </c>
      <c r="N37" s="25" t="s">
        <v>87</v>
      </c>
      <c r="O37" s="25" t="s">
        <v>159</v>
      </c>
      <c r="P37" s="25" t="s">
        <v>183</v>
      </c>
      <c r="Q37" s="58" t="str">
        <f t="shared" ref="Q37:W37" si="38">I37-H37</f>
        <v>#VALUE!</v>
      </c>
      <c r="R37" s="27" t="str">
        <f t="shared" si="38"/>
        <v>#VALUE!</v>
      </c>
      <c r="S37" s="27" t="str">
        <f t="shared" si="38"/>
        <v>#VALUE!</v>
      </c>
      <c r="T37" s="27" t="str">
        <f t="shared" si="38"/>
        <v>#VALUE!</v>
      </c>
      <c r="U37" s="27" t="str">
        <f t="shared" si="38"/>
        <v>#VALUE!</v>
      </c>
      <c r="V37" s="27" t="str">
        <f t="shared" si="38"/>
        <v>#VALUE!</v>
      </c>
      <c r="W37" s="27" t="str">
        <f t="shared" si="38"/>
        <v>#VALUE!</v>
      </c>
      <c r="X37" s="27" t="str">
        <f t="shared" si="37"/>
        <v>#VALUE!</v>
      </c>
    </row>
    <row r="38">
      <c r="A38" s="46">
        <v>1.0</v>
      </c>
      <c r="B38" s="47">
        <v>22.03</v>
      </c>
      <c r="C38" s="48">
        <v>2.0</v>
      </c>
      <c r="D38" s="48" t="s">
        <v>24</v>
      </c>
      <c r="E38" s="48"/>
      <c r="F38" s="48">
        <v>0.0</v>
      </c>
      <c r="G38" s="49">
        <v>2014.0</v>
      </c>
      <c r="H38" s="50">
        <v>41951.0</v>
      </c>
      <c r="I38" s="50">
        <v>42003.0</v>
      </c>
      <c r="J38" s="50">
        <v>42050.0</v>
      </c>
      <c r="K38" s="50">
        <v>42084.0</v>
      </c>
      <c r="L38" s="50">
        <v>42099.0</v>
      </c>
      <c r="M38" s="50">
        <v>42135.0</v>
      </c>
      <c r="N38" s="50">
        <v>42142.0</v>
      </c>
      <c r="O38" s="50">
        <v>42165.0</v>
      </c>
      <c r="P38" s="50">
        <v>42188.0</v>
      </c>
      <c r="Q38" s="51">
        <f t="shared" ref="Q38:W38" si="39">I38-H38</f>
        <v>52</v>
      </c>
      <c r="R38" s="51">
        <f t="shared" si="39"/>
        <v>47</v>
      </c>
      <c r="S38" s="51">
        <f t="shared" si="39"/>
        <v>34</v>
      </c>
      <c r="T38" s="51">
        <f t="shared" si="39"/>
        <v>15</v>
      </c>
      <c r="U38" s="51">
        <f t="shared" si="39"/>
        <v>36</v>
      </c>
      <c r="V38" s="51">
        <f t="shared" si="39"/>
        <v>7</v>
      </c>
      <c r="W38" s="51">
        <f t="shared" si="39"/>
        <v>23</v>
      </c>
      <c r="X38" s="51">
        <f t="shared" si="37"/>
        <v>214</v>
      </c>
      <c r="Y38" s="52">
        <v>14.0</v>
      </c>
    </row>
    <row r="39">
      <c r="A39" s="70">
        <v>1.0</v>
      </c>
      <c r="B39" s="59">
        <v>22.05</v>
      </c>
      <c r="C39" s="35">
        <v>1.0</v>
      </c>
      <c r="D39" s="35" t="s">
        <v>24</v>
      </c>
      <c r="E39" s="35"/>
      <c r="F39" s="35">
        <v>0.0</v>
      </c>
      <c r="G39" s="1">
        <v>2013.0</v>
      </c>
      <c r="H39" s="71" t="s">
        <v>172</v>
      </c>
      <c r="I39" s="71" t="s">
        <v>184</v>
      </c>
      <c r="J39" s="71" t="s">
        <v>99</v>
      </c>
      <c r="K39" s="65">
        <v>41689.0</v>
      </c>
      <c r="L39" s="65">
        <v>41718.0</v>
      </c>
      <c r="M39" s="65">
        <v>41752.0</v>
      </c>
      <c r="N39" s="65">
        <v>41762.0</v>
      </c>
      <c r="O39" s="65">
        <v>41790.0</v>
      </c>
      <c r="P39" s="65">
        <v>41805.0</v>
      </c>
      <c r="Q39" s="27" t="str">
        <f t="shared" ref="Q39:W39" si="40">I39-H39</f>
        <v>#VALUE!</v>
      </c>
      <c r="R39" s="27" t="str">
        <f t="shared" si="40"/>
        <v>#VALUE!</v>
      </c>
      <c r="S39" s="27" t="str">
        <f t="shared" si="40"/>
        <v>#VALUE!</v>
      </c>
      <c r="T39" s="27">
        <f t="shared" si="40"/>
        <v>29</v>
      </c>
      <c r="U39" s="27">
        <f t="shared" si="40"/>
        <v>34</v>
      </c>
      <c r="V39" s="27">
        <f t="shared" si="40"/>
        <v>10</v>
      </c>
      <c r="W39" s="27">
        <f t="shared" si="40"/>
        <v>28</v>
      </c>
      <c r="X39" s="27" t="str">
        <f t="shared" si="37"/>
        <v>#VALUE!</v>
      </c>
    </row>
    <row r="40">
      <c r="A40" s="70" t="s">
        <v>35</v>
      </c>
      <c r="B40" s="34">
        <v>26.01</v>
      </c>
      <c r="C40" s="35"/>
      <c r="D40" s="36" t="s">
        <v>36</v>
      </c>
      <c r="E40" s="36" t="s">
        <v>37</v>
      </c>
      <c r="F40" s="35"/>
      <c r="G40" s="1">
        <f t="shared" ref="G40:G42" si="42">YEAR(H40)</f>
        <v>2016</v>
      </c>
      <c r="H40" s="80">
        <v>42684.0</v>
      </c>
      <c r="I40" s="80">
        <v>42798.0</v>
      </c>
      <c r="J40" s="80">
        <v>42822.0</v>
      </c>
      <c r="K40" s="80">
        <v>42832.0</v>
      </c>
      <c r="L40" s="80">
        <v>42850.0</v>
      </c>
      <c r="M40" s="80">
        <v>42881.0</v>
      </c>
      <c r="N40" s="80">
        <v>42892.0</v>
      </c>
      <c r="O40" s="80">
        <v>42919.0</v>
      </c>
      <c r="P40" s="80">
        <v>42926.0</v>
      </c>
      <c r="Q40" s="27">
        <f t="shared" ref="Q40:W40" si="41">I40-H40</f>
        <v>114</v>
      </c>
      <c r="R40" s="27">
        <f t="shared" si="41"/>
        <v>24</v>
      </c>
      <c r="S40" s="27">
        <f t="shared" si="41"/>
        <v>10</v>
      </c>
      <c r="T40" s="27">
        <f t="shared" si="41"/>
        <v>18</v>
      </c>
      <c r="U40" s="27">
        <f t="shared" si="41"/>
        <v>31</v>
      </c>
      <c r="V40" s="27">
        <f t="shared" si="41"/>
        <v>11</v>
      </c>
      <c r="W40" s="27">
        <f t="shared" si="41"/>
        <v>27</v>
      </c>
      <c r="X40" s="27">
        <f t="shared" si="37"/>
        <v>235</v>
      </c>
    </row>
    <row r="41">
      <c r="A41" s="46" t="s">
        <v>35</v>
      </c>
      <c r="B41" s="47">
        <v>26.04</v>
      </c>
      <c r="C41" s="48"/>
      <c r="D41" s="48" t="s">
        <v>36</v>
      </c>
      <c r="E41" s="48"/>
      <c r="F41" s="48"/>
      <c r="G41" s="49">
        <f t="shared" si="42"/>
        <v>2016</v>
      </c>
      <c r="H41" s="50">
        <v>42661.0</v>
      </c>
      <c r="I41" s="50">
        <v>42678.0</v>
      </c>
      <c r="J41" s="50">
        <v>42704.0</v>
      </c>
      <c r="K41" s="50">
        <v>42804.0</v>
      </c>
      <c r="L41" s="50">
        <v>42841.0</v>
      </c>
      <c r="M41" s="50">
        <v>42855.0</v>
      </c>
      <c r="N41" s="50">
        <v>42886.0</v>
      </c>
      <c r="O41" s="50">
        <v>42905.0</v>
      </c>
      <c r="P41" s="50">
        <v>42922.0</v>
      </c>
      <c r="Q41" s="51">
        <f t="shared" ref="Q41:W41" si="43">I41-H41</f>
        <v>17</v>
      </c>
      <c r="R41" s="51">
        <f t="shared" si="43"/>
        <v>26</v>
      </c>
      <c r="S41" s="51">
        <f t="shared" si="43"/>
        <v>100</v>
      </c>
      <c r="T41" s="51">
        <f t="shared" si="43"/>
        <v>37</v>
      </c>
      <c r="U41" s="51">
        <f t="shared" si="43"/>
        <v>14</v>
      </c>
      <c r="V41" s="51">
        <f t="shared" si="43"/>
        <v>31</v>
      </c>
      <c r="W41" s="51">
        <f t="shared" si="43"/>
        <v>19</v>
      </c>
      <c r="X41" s="51">
        <f t="shared" si="37"/>
        <v>244</v>
      </c>
      <c r="Y41" s="52">
        <v>15.0</v>
      </c>
    </row>
    <row r="42">
      <c r="A42" s="70" t="s">
        <v>35</v>
      </c>
      <c r="B42" s="34">
        <v>26.05</v>
      </c>
      <c r="C42" s="35"/>
      <c r="D42" s="36" t="s">
        <v>36</v>
      </c>
      <c r="E42" s="36"/>
      <c r="F42" s="35"/>
      <c r="G42" s="1">
        <f t="shared" si="42"/>
        <v>2017</v>
      </c>
      <c r="H42" s="80">
        <v>42807.0</v>
      </c>
      <c r="I42" s="80">
        <v>42823.0</v>
      </c>
      <c r="J42" s="80">
        <v>42838.0</v>
      </c>
      <c r="K42" s="80">
        <v>42860.0</v>
      </c>
      <c r="L42" s="80">
        <v>42876.0</v>
      </c>
      <c r="M42" s="80">
        <v>42892.0</v>
      </c>
      <c r="N42" s="80">
        <v>42900.0</v>
      </c>
      <c r="O42" s="80">
        <v>42917.0</v>
      </c>
      <c r="P42" s="80">
        <v>43032.0</v>
      </c>
      <c r="Q42" s="27">
        <f t="shared" ref="Q42:W42" si="44">I42-H42</f>
        <v>16</v>
      </c>
      <c r="R42" s="27">
        <f t="shared" si="44"/>
        <v>15</v>
      </c>
      <c r="S42" s="27">
        <f t="shared" si="44"/>
        <v>22</v>
      </c>
      <c r="T42" s="27">
        <f t="shared" si="44"/>
        <v>16</v>
      </c>
      <c r="U42" s="27">
        <f t="shared" si="44"/>
        <v>16</v>
      </c>
      <c r="V42" s="27">
        <f t="shared" si="44"/>
        <v>8</v>
      </c>
      <c r="W42" s="27">
        <f t="shared" si="44"/>
        <v>17</v>
      </c>
      <c r="X42" s="27">
        <f t="shared" si="37"/>
        <v>110</v>
      </c>
    </row>
    <row r="43">
      <c r="A43" s="70"/>
      <c r="B43" s="34"/>
      <c r="C43" s="35"/>
      <c r="D43" s="36"/>
      <c r="E43" s="36"/>
      <c r="F43" s="35"/>
      <c r="G43" s="1"/>
      <c r="H43" s="80"/>
      <c r="I43" s="80"/>
      <c r="J43" s="80"/>
      <c r="K43" s="80"/>
      <c r="L43" s="80"/>
      <c r="M43" s="80"/>
      <c r="N43" s="80"/>
      <c r="O43" s="80"/>
      <c r="P43" s="80"/>
      <c r="Q43" s="27"/>
      <c r="R43" s="27"/>
      <c r="S43" s="27"/>
      <c r="T43" s="27"/>
      <c r="U43" s="27"/>
      <c r="V43" s="27"/>
      <c r="W43" s="27"/>
      <c r="X43" s="27"/>
    </row>
    <row r="44">
      <c r="A44" s="81" t="s">
        <v>35</v>
      </c>
      <c r="B44" s="82">
        <v>26.09</v>
      </c>
      <c r="C44" s="35"/>
      <c r="D44" s="36" t="s">
        <v>36</v>
      </c>
      <c r="E44" s="36" t="s">
        <v>185</v>
      </c>
      <c r="F44" s="35"/>
      <c r="G44" s="1">
        <f t="shared" ref="G44:G47" si="46">YEAR(H44)</f>
        <v>2016</v>
      </c>
      <c r="H44" s="83">
        <v>42646.0</v>
      </c>
      <c r="I44" s="83">
        <v>42667.0</v>
      </c>
      <c r="J44" s="84">
        <v>42697.0</v>
      </c>
      <c r="K44" s="84">
        <v>42787.0</v>
      </c>
      <c r="L44" s="84">
        <v>42824.0</v>
      </c>
      <c r="M44" s="84">
        <v>42875.0</v>
      </c>
      <c r="N44" s="84">
        <v>42880.0</v>
      </c>
      <c r="O44" s="84">
        <v>42904.0</v>
      </c>
      <c r="P44" s="85">
        <v>42932.0</v>
      </c>
      <c r="Q44" s="27">
        <f t="shared" ref="Q44:W44" si="45">I44-H44</f>
        <v>21</v>
      </c>
      <c r="R44" s="27">
        <f t="shared" si="45"/>
        <v>30</v>
      </c>
      <c r="S44" s="27">
        <f t="shared" si="45"/>
        <v>90</v>
      </c>
      <c r="T44" s="27">
        <f t="shared" si="45"/>
        <v>37</v>
      </c>
      <c r="U44" s="27">
        <f t="shared" si="45"/>
        <v>51</v>
      </c>
      <c r="V44" s="27">
        <f t="shared" si="45"/>
        <v>5</v>
      </c>
      <c r="W44" s="27">
        <f t="shared" si="45"/>
        <v>24</v>
      </c>
      <c r="X44" s="27">
        <f t="shared" ref="X44:X47" si="48">SUM(Q44:W44)</f>
        <v>258</v>
      </c>
    </row>
    <row r="45">
      <c r="A45" s="81"/>
      <c r="B45" s="82">
        <v>26.1</v>
      </c>
      <c r="C45" s="35"/>
      <c r="D45" s="36" t="s">
        <v>36</v>
      </c>
      <c r="E45" s="36" t="s">
        <v>186</v>
      </c>
      <c r="F45" s="35"/>
      <c r="G45" s="1">
        <f t="shared" si="46"/>
        <v>2016</v>
      </c>
      <c r="H45" s="83">
        <v>42662.0</v>
      </c>
      <c r="I45" s="84">
        <v>42792.0</v>
      </c>
      <c r="J45" s="84">
        <v>42799.0</v>
      </c>
      <c r="K45" s="84">
        <v>42814.0</v>
      </c>
      <c r="L45" s="84">
        <v>42854.0</v>
      </c>
      <c r="M45" s="84">
        <v>42884.0</v>
      </c>
      <c r="N45" s="84">
        <v>42891.0</v>
      </c>
      <c r="O45" s="84">
        <v>42919.0</v>
      </c>
      <c r="P45" s="62">
        <v>42948.0</v>
      </c>
      <c r="Q45" s="27">
        <f t="shared" ref="Q45:W45" si="47">I45-H45</f>
        <v>130</v>
      </c>
      <c r="R45" s="27">
        <f t="shared" si="47"/>
        <v>7</v>
      </c>
      <c r="S45" s="27">
        <f t="shared" si="47"/>
        <v>15</v>
      </c>
      <c r="T45" s="27">
        <f t="shared" si="47"/>
        <v>40</v>
      </c>
      <c r="U45" s="27">
        <f t="shared" si="47"/>
        <v>30</v>
      </c>
      <c r="V45" s="27">
        <f t="shared" si="47"/>
        <v>7</v>
      </c>
      <c r="W45" s="27">
        <f t="shared" si="47"/>
        <v>28</v>
      </c>
      <c r="X45" s="27">
        <f t="shared" si="48"/>
        <v>257</v>
      </c>
    </row>
    <row r="46">
      <c r="A46" s="8" t="s">
        <v>35</v>
      </c>
      <c r="B46" s="9">
        <v>26.11</v>
      </c>
      <c r="C46" s="10"/>
      <c r="D46" s="10" t="s">
        <v>36</v>
      </c>
      <c r="E46" s="10" t="s">
        <v>187</v>
      </c>
      <c r="F46" s="10"/>
      <c r="G46" s="11">
        <f t="shared" si="46"/>
        <v>2016</v>
      </c>
      <c r="H46" s="86">
        <v>42662.0</v>
      </c>
      <c r="I46" s="86">
        <v>42777.0</v>
      </c>
      <c r="J46" s="86">
        <v>42809.0</v>
      </c>
      <c r="K46" s="86">
        <v>42827.0</v>
      </c>
      <c r="L46" s="8" t="s">
        <v>188</v>
      </c>
      <c r="M46" s="86">
        <v>42877.0</v>
      </c>
      <c r="N46" s="86">
        <v>42884.0</v>
      </c>
      <c r="O46" s="86">
        <v>42909.0</v>
      </c>
      <c r="P46" s="86">
        <v>42939.0</v>
      </c>
      <c r="Q46" s="12" t="str">
        <f>#REF!-H46</f>
        <v>#REF!</v>
      </c>
      <c r="R46" s="12" t="str">
        <f>I46-#REF!</f>
        <v>#REF!</v>
      </c>
      <c r="S46" s="12">
        <f t="shared" ref="S46:U46" si="49">J46-I46</f>
        <v>32</v>
      </c>
      <c r="T46" s="12">
        <f t="shared" si="49"/>
        <v>18</v>
      </c>
      <c r="U46" s="12" t="str">
        <f t="shared" si="49"/>
        <v>#VALUE!</v>
      </c>
      <c r="V46" s="12" t="str">
        <f>N46-L46</f>
        <v>#VALUE!</v>
      </c>
      <c r="W46" s="12">
        <f>O46-N46</f>
        <v>25</v>
      </c>
      <c r="X46" s="12" t="str">
        <f t="shared" si="48"/>
        <v>#REF!</v>
      </c>
      <c r="Y46" s="10"/>
      <c r="Z46" s="10"/>
      <c r="AA46" s="10"/>
      <c r="AB46" s="10"/>
    </row>
    <row r="47">
      <c r="A47" s="8" t="s">
        <v>35</v>
      </c>
      <c r="B47" s="9">
        <v>26.12</v>
      </c>
      <c r="C47" s="10"/>
      <c r="D47" s="10" t="s">
        <v>36</v>
      </c>
      <c r="E47" s="10"/>
      <c r="F47" s="10"/>
      <c r="G47" s="11">
        <f t="shared" si="46"/>
        <v>2016</v>
      </c>
      <c r="H47" s="86">
        <v>42642.0</v>
      </c>
      <c r="I47" s="86">
        <v>42771.0</v>
      </c>
      <c r="J47" s="86">
        <v>42797.0</v>
      </c>
      <c r="K47" s="86">
        <v>42826.0</v>
      </c>
      <c r="L47" s="86">
        <v>42856.0</v>
      </c>
      <c r="M47" s="86">
        <v>42878.0</v>
      </c>
      <c r="N47" s="86">
        <v>42889.0</v>
      </c>
      <c r="O47" s="86">
        <v>42918.0</v>
      </c>
      <c r="P47" s="86">
        <v>42937.0</v>
      </c>
      <c r="Q47" s="12">
        <f t="shared" ref="Q47:W47" si="50">I47-H47</f>
        <v>129</v>
      </c>
      <c r="R47" s="12">
        <f t="shared" si="50"/>
        <v>26</v>
      </c>
      <c r="S47" s="12">
        <f t="shared" si="50"/>
        <v>29</v>
      </c>
      <c r="T47" s="12">
        <f t="shared" si="50"/>
        <v>30</v>
      </c>
      <c r="U47" s="12">
        <f t="shared" si="50"/>
        <v>22</v>
      </c>
      <c r="V47" s="12">
        <f t="shared" si="50"/>
        <v>11</v>
      </c>
      <c r="W47" s="12">
        <f t="shared" si="50"/>
        <v>29</v>
      </c>
      <c r="X47" s="12">
        <f t="shared" si="48"/>
        <v>276</v>
      </c>
      <c r="Y47" s="10"/>
      <c r="Z47" s="10"/>
      <c r="AA47" s="10"/>
      <c r="AB47" s="10"/>
    </row>
    <row r="48">
      <c r="A48" s="81"/>
      <c r="B48" s="87"/>
      <c r="C48" s="35"/>
      <c r="D48" s="35"/>
      <c r="E48" s="35"/>
      <c r="F48" s="35"/>
      <c r="G48" s="1"/>
      <c r="H48" s="88"/>
      <c r="I48" s="88"/>
      <c r="J48" s="88"/>
      <c r="K48" s="88"/>
      <c r="L48" s="88"/>
      <c r="M48" s="88"/>
      <c r="N48" s="88"/>
      <c r="O48" s="88"/>
      <c r="P48" s="25"/>
      <c r="Q48" s="27"/>
      <c r="R48" s="27"/>
      <c r="S48" s="27"/>
      <c r="T48" s="28"/>
      <c r="U48" s="27"/>
      <c r="V48" s="27"/>
      <c r="W48" s="27"/>
      <c r="X48" s="27"/>
    </row>
    <row r="49">
      <c r="A49" s="81"/>
      <c r="B49" s="87"/>
      <c r="C49" s="35"/>
      <c r="D49" s="35"/>
      <c r="E49" s="35"/>
      <c r="F49" s="35"/>
      <c r="G49" s="1"/>
      <c r="H49" s="88"/>
      <c r="I49" s="88"/>
      <c r="J49" s="88"/>
      <c r="K49" s="88"/>
      <c r="L49" s="88"/>
      <c r="M49" s="88"/>
      <c r="N49" s="88"/>
      <c r="O49" s="88"/>
      <c r="P49" s="26"/>
      <c r="Q49" s="27"/>
      <c r="R49" s="27"/>
      <c r="S49" s="27"/>
      <c r="T49" s="27"/>
      <c r="U49" s="27"/>
      <c r="V49" s="27"/>
      <c r="W49" s="27"/>
      <c r="X49" s="27"/>
    </row>
    <row r="50">
      <c r="A50" s="8" t="s">
        <v>35</v>
      </c>
      <c r="B50" s="9">
        <v>27.02</v>
      </c>
      <c r="C50" s="10"/>
      <c r="D50" s="10" t="s">
        <v>36</v>
      </c>
      <c r="E50" s="10"/>
      <c r="F50" s="10"/>
      <c r="G50" s="11">
        <v>2016.0</v>
      </c>
      <c r="H50" s="8" t="s">
        <v>189</v>
      </c>
      <c r="I50" s="8" t="s">
        <v>190</v>
      </c>
      <c r="J50" s="8" t="s">
        <v>191</v>
      </c>
      <c r="K50" s="8" t="s">
        <v>192</v>
      </c>
      <c r="L50" s="8" t="s">
        <v>193</v>
      </c>
      <c r="M50" s="8" t="s">
        <v>194</v>
      </c>
      <c r="N50" s="8" t="s">
        <v>79</v>
      </c>
      <c r="O50" s="8" t="s">
        <v>195</v>
      </c>
      <c r="P50" s="8" t="s">
        <v>196</v>
      </c>
      <c r="Q50" s="12" t="str">
        <f t="shared" ref="Q50:W50" si="51">I50-H50</f>
        <v>#VALUE!</v>
      </c>
      <c r="R50" s="12" t="str">
        <f t="shared" si="51"/>
        <v>#VALUE!</v>
      </c>
      <c r="S50" s="12" t="str">
        <f t="shared" si="51"/>
        <v>#VALUE!</v>
      </c>
      <c r="T50" s="12" t="str">
        <f t="shared" si="51"/>
        <v>#VALUE!</v>
      </c>
      <c r="U50" s="12" t="str">
        <f t="shared" si="51"/>
        <v>#VALUE!</v>
      </c>
      <c r="V50" s="12" t="str">
        <f t="shared" si="51"/>
        <v>#VALUE!</v>
      </c>
      <c r="W50" s="12" t="str">
        <f t="shared" si="51"/>
        <v>#VALUE!</v>
      </c>
      <c r="X50" s="12" t="str">
        <f t="shared" ref="X50:X51" si="53">SUM(Q50:W50)</f>
        <v>#VALUE!</v>
      </c>
      <c r="Y50" s="10"/>
      <c r="Z50" s="10"/>
      <c r="AA50" s="10"/>
      <c r="AB50" s="10"/>
    </row>
    <row r="51">
      <c r="A51" s="8">
        <v>1.0</v>
      </c>
      <c r="B51" s="9">
        <v>27.03</v>
      </c>
      <c r="C51" s="10">
        <v>2.0</v>
      </c>
      <c r="D51" s="10" t="s">
        <v>24</v>
      </c>
      <c r="E51" s="10"/>
      <c r="F51" s="10">
        <v>0.0</v>
      </c>
      <c r="G51" s="11">
        <v>2013.0</v>
      </c>
      <c r="H51" s="8" t="s">
        <v>197</v>
      </c>
      <c r="I51" s="8" t="s">
        <v>198</v>
      </c>
      <c r="J51" s="8" t="s">
        <v>199</v>
      </c>
      <c r="K51" s="8" t="s">
        <v>200</v>
      </c>
      <c r="L51" s="8" t="s">
        <v>201</v>
      </c>
      <c r="M51" s="8" t="s">
        <v>202</v>
      </c>
      <c r="N51" s="8" t="s">
        <v>203</v>
      </c>
      <c r="O51" s="8" t="s">
        <v>204</v>
      </c>
      <c r="P51" s="8" t="s">
        <v>205</v>
      </c>
      <c r="Q51" s="12" t="str">
        <f t="shared" ref="Q51:W51" si="52">I51-H51</f>
        <v>#VALUE!</v>
      </c>
      <c r="R51" s="12" t="str">
        <f t="shared" si="52"/>
        <v>#VALUE!</v>
      </c>
      <c r="S51" s="12" t="str">
        <f t="shared" si="52"/>
        <v>#VALUE!</v>
      </c>
      <c r="T51" s="12" t="str">
        <f t="shared" si="52"/>
        <v>#VALUE!</v>
      </c>
      <c r="U51" s="12" t="str">
        <f t="shared" si="52"/>
        <v>#VALUE!</v>
      </c>
      <c r="V51" s="12" t="str">
        <f t="shared" si="52"/>
        <v>#VALUE!</v>
      </c>
      <c r="W51" s="12" t="str">
        <f t="shared" si="52"/>
        <v>#VALUE!</v>
      </c>
      <c r="X51" s="12" t="str">
        <f t="shared" si="53"/>
        <v>#VALUE!</v>
      </c>
      <c r="Y51" s="10"/>
      <c r="Z51" s="10"/>
      <c r="AA51" s="10"/>
      <c r="AB51" s="10"/>
    </row>
    <row r="52">
      <c r="A52" s="81"/>
      <c r="B52" s="89"/>
      <c r="C52" s="35"/>
      <c r="D52" s="35"/>
      <c r="E52" s="35"/>
      <c r="F52" s="35"/>
      <c r="G52" s="1"/>
      <c r="H52" s="90"/>
      <c r="I52" s="90"/>
      <c r="J52" s="90"/>
      <c r="K52" s="90"/>
      <c r="L52" s="90"/>
      <c r="M52" s="71"/>
      <c r="N52" s="71"/>
      <c r="O52" s="71"/>
      <c r="P52" s="91"/>
      <c r="Q52" s="27"/>
      <c r="R52" s="27"/>
      <c r="S52" s="27"/>
      <c r="T52" s="27"/>
      <c r="U52" s="27"/>
      <c r="V52" s="27"/>
      <c r="W52" s="27"/>
      <c r="X52" s="27"/>
    </row>
    <row r="53">
      <c r="A53" s="8" t="s">
        <v>35</v>
      </c>
      <c r="B53" s="9">
        <v>27.04</v>
      </c>
      <c r="C53" s="10"/>
      <c r="D53" s="10" t="s">
        <v>36</v>
      </c>
      <c r="E53" s="10" t="s">
        <v>25</v>
      </c>
      <c r="F53" s="10"/>
      <c r="G53" s="11" t="str">
        <f>YEAR(H53)</f>
        <v>#VALUE!</v>
      </c>
      <c r="H53" s="8" t="s">
        <v>189</v>
      </c>
      <c r="I53" s="8" t="s">
        <v>206</v>
      </c>
      <c r="J53" s="8" t="s">
        <v>41</v>
      </c>
      <c r="K53" s="8" t="s">
        <v>207</v>
      </c>
      <c r="L53" s="8" t="s">
        <v>208</v>
      </c>
      <c r="M53" s="8" t="s">
        <v>209</v>
      </c>
      <c r="N53" s="8" t="s">
        <v>210</v>
      </c>
      <c r="O53" s="8" t="s">
        <v>211</v>
      </c>
      <c r="P53" s="8" t="s">
        <v>212</v>
      </c>
      <c r="Q53" s="12" t="str">
        <f t="shared" ref="Q53:W53" si="54">I53-H53</f>
        <v>#VALUE!</v>
      </c>
      <c r="R53" s="12" t="str">
        <f t="shared" si="54"/>
        <v>#VALUE!</v>
      </c>
      <c r="S53" s="12" t="str">
        <f t="shared" si="54"/>
        <v>#VALUE!</v>
      </c>
      <c r="T53" s="12" t="str">
        <f t="shared" si="54"/>
        <v>#VALUE!</v>
      </c>
      <c r="U53" s="12" t="str">
        <f t="shared" si="54"/>
        <v>#VALUE!</v>
      </c>
      <c r="V53" s="12" t="str">
        <f t="shared" si="54"/>
        <v>#VALUE!</v>
      </c>
      <c r="W53" s="12" t="str">
        <f t="shared" si="54"/>
        <v>#VALUE!</v>
      </c>
      <c r="X53" s="12" t="str">
        <f t="shared" ref="X53:X55" si="56">SUM(Q53:W53)</f>
        <v>#VALUE!</v>
      </c>
      <c r="Y53" s="10"/>
      <c r="Z53" s="10"/>
      <c r="AA53" s="10"/>
      <c r="AB53" s="10"/>
    </row>
    <row r="54">
      <c r="A54" s="8">
        <v>1.0</v>
      </c>
      <c r="B54" s="9">
        <v>27.05</v>
      </c>
      <c r="C54" s="10">
        <v>1.0</v>
      </c>
      <c r="D54" s="10" t="s">
        <v>24</v>
      </c>
      <c r="E54" s="10" t="s">
        <v>25</v>
      </c>
      <c r="F54" s="10">
        <v>0.0</v>
      </c>
      <c r="G54" s="11">
        <v>2013.0</v>
      </c>
      <c r="H54" s="8" t="s">
        <v>213</v>
      </c>
      <c r="I54" s="8" t="s">
        <v>214</v>
      </c>
      <c r="J54" s="8" t="s">
        <v>215</v>
      </c>
      <c r="K54" s="8" t="s">
        <v>216</v>
      </c>
      <c r="L54" s="8" t="s">
        <v>217</v>
      </c>
      <c r="M54" s="8" t="s">
        <v>218</v>
      </c>
      <c r="N54" s="8" t="s">
        <v>219</v>
      </c>
      <c r="O54" s="8" t="s">
        <v>220</v>
      </c>
      <c r="P54" s="8" t="s">
        <v>221</v>
      </c>
      <c r="Q54" s="12" t="str">
        <f t="shared" ref="Q54:W54" si="55">I54-H54</f>
        <v>#VALUE!</v>
      </c>
      <c r="R54" s="12" t="str">
        <f t="shared" si="55"/>
        <v>#VALUE!</v>
      </c>
      <c r="S54" s="12" t="str">
        <f t="shared" si="55"/>
        <v>#VALUE!</v>
      </c>
      <c r="T54" s="12" t="str">
        <f t="shared" si="55"/>
        <v>#VALUE!</v>
      </c>
      <c r="U54" s="12" t="str">
        <f t="shared" si="55"/>
        <v>#VALUE!</v>
      </c>
      <c r="V54" s="12" t="str">
        <f t="shared" si="55"/>
        <v>#VALUE!</v>
      </c>
      <c r="W54" s="12" t="str">
        <f t="shared" si="55"/>
        <v>#VALUE!</v>
      </c>
      <c r="X54" s="12" t="str">
        <f t="shared" si="56"/>
        <v>#VALUE!</v>
      </c>
      <c r="Y54" s="10"/>
      <c r="Z54" s="10"/>
      <c r="AA54" s="10"/>
      <c r="AB54" s="10"/>
    </row>
    <row r="55">
      <c r="A55" s="81" t="s">
        <v>35</v>
      </c>
      <c r="B55" s="82">
        <v>27.05</v>
      </c>
      <c r="C55" s="35"/>
      <c r="D55" s="36" t="s">
        <v>36</v>
      </c>
      <c r="E55" s="36" t="s">
        <v>222</v>
      </c>
      <c r="F55" s="35"/>
      <c r="G55" s="1" t="str">
        <f>YEAR(H55)</f>
        <v>#VALUE!</v>
      </c>
      <c r="H55" s="92" t="s">
        <v>223</v>
      </c>
      <c r="I55" s="92" t="s">
        <v>224</v>
      </c>
      <c r="J55" s="92" t="s">
        <v>225</v>
      </c>
      <c r="K55" s="92" t="s">
        <v>226</v>
      </c>
      <c r="L55" s="92" t="s">
        <v>227</v>
      </c>
      <c r="M55" s="92" t="s">
        <v>228</v>
      </c>
      <c r="N55" s="92" t="s">
        <v>79</v>
      </c>
      <c r="O55" s="92" t="s">
        <v>229</v>
      </c>
      <c r="P55" s="93" t="s">
        <v>230</v>
      </c>
      <c r="Q55" s="27" t="str">
        <f t="shared" ref="Q55:W55" si="57">I55-H55</f>
        <v>#VALUE!</v>
      </c>
      <c r="R55" s="27" t="str">
        <f t="shared" si="57"/>
        <v>#VALUE!</v>
      </c>
      <c r="S55" s="27" t="str">
        <f t="shared" si="57"/>
        <v>#VALUE!</v>
      </c>
      <c r="T55" s="27" t="str">
        <f t="shared" si="57"/>
        <v>#VALUE!</v>
      </c>
      <c r="U55" s="27" t="str">
        <f t="shared" si="57"/>
        <v>#VALUE!</v>
      </c>
      <c r="V55" s="27" t="str">
        <f t="shared" si="57"/>
        <v>#VALUE!</v>
      </c>
      <c r="W55" s="27" t="str">
        <f t="shared" si="57"/>
        <v>#VALUE!</v>
      </c>
      <c r="X55" s="27" t="str">
        <f t="shared" si="56"/>
        <v>#VALUE!</v>
      </c>
    </row>
    <row r="56">
      <c r="A56" s="81"/>
      <c r="B56" s="87"/>
      <c r="C56" s="35"/>
      <c r="D56" s="35"/>
      <c r="E56" s="35"/>
      <c r="F56" s="35"/>
      <c r="G56" s="1"/>
      <c r="H56" s="94"/>
      <c r="I56" s="94"/>
      <c r="J56" s="94"/>
      <c r="K56" s="94"/>
      <c r="L56" s="94"/>
      <c r="M56" s="94"/>
      <c r="N56" s="88"/>
      <c r="O56" s="94"/>
      <c r="P56" s="95"/>
      <c r="Q56" s="27"/>
      <c r="R56" s="27"/>
      <c r="S56" s="27"/>
      <c r="T56" s="27"/>
      <c r="U56" s="27"/>
      <c r="V56" s="27"/>
      <c r="W56" s="27"/>
      <c r="X56" s="27"/>
    </row>
    <row r="57">
      <c r="A57" s="81" t="s">
        <v>35</v>
      </c>
      <c r="B57" s="82">
        <v>27.06</v>
      </c>
      <c r="C57" s="35"/>
      <c r="D57" s="36" t="s">
        <v>36</v>
      </c>
      <c r="E57" s="36"/>
      <c r="F57" s="35"/>
      <c r="G57" s="1">
        <f>YEAR(H57)</f>
        <v>2016</v>
      </c>
      <c r="H57" s="83">
        <v>42680.0</v>
      </c>
      <c r="I57" s="83">
        <v>42711.0</v>
      </c>
      <c r="J57" s="83">
        <v>42747.0</v>
      </c>
      <c r="K57" s="83">
        <v>42784.0</v>
      </c>
      <c r="L57" s="83">
        <v>42807.0</v>
      </c>
      <c r="M57" s="83">
        <v>42854.0</v>
      </c>
      <c r="N57" s="96" t="s">
        <v>231</v>
      </c>
      <c r="O57" s="83">
        <v>42887.0</v>
      </c>
      <c r="P57" s="83">
        <v>42907.0</v>
      </c>
      <c r="Q57" s="27">
        <f t="shared" ref="Q57:W57" si="58">I57-H57</f>
        <v>31</v>
      </c>
      <c r="R57" s="27">
        <f t="shared" si="58"/>
        <v>36</v>
      </c>
      <c r="S57" s="27">
        <f t="shared" si="58"/>
        <v>37</v>
      </c>
      <c r="T57" s="27">
        <f t="shared" si="58"/>
        <v>23</v>
      </c>
      <c r="U57" s="27">
        <f t="shared" si="58"/>
        <v>47</v>
      </c>
      <c r="V57" s="27" t="str">
        <f t="shared" si="58"/>
        <v>#VALUE!</v>
      </c>
      <c r="W57" s="27" t="str">
        <f t="shared" si="58"/>
        <v>#VALUE!</v>
      </c>
      <c r="X57" s="27" t="str">
        <f t="shared" ref="X57:X58" si="60">SUM(Q57:W57)</f>
        <v>#VALUE!</v>
      </c>
    </row>
    <row r="58">
      <c r="A58" s="97">
        <v>1.0</v>
      </c>
      <c r="B58" s="98">
        <v>27.09</v>
      </c>
      <c r="C58" s="30">
        <v>2.0</v>
      </c>
      <c r="D58" s="30" t="s">
        <v>24</v>
      </c>
      <c r="E58" s="30"/>
      <c r="F58" s="30">
        <v>0.0</v>
      </c>
      <c r="G58" s="32">
        <v>2014.0</v>
      </c>
      <c r="H58" s="99">
        <v>41962.0</v>
      </c>
      <c r="I58" s="99">
        <v>41976.0</v>
      </c>
      <c r="J58" s="100">
        <v>41995.0</v>
      </c>
      <c r="K58" s="101">
        <v>42019.0</v>
      </c>
      <c r="L58" s="99">
        <v>42070.0</v>
      </c>
      <c r="M58" s="99">
        <v>42128.0</v>
      </c>
      <c r="N58" s="102" t="s">
        <v>231</v>
      </c>
      <c r="O58" s="99">
        <v>42147.0</v>
      </c>
      <c r="P58" s="99">
        <v>42173.0</v>
      </c>
      <c r="Q58" s="19">
        <f t="shared" ref="Q58:W58" si="59">I58-H58</f>
        <v>14</v>
      </c>
      <c r="R58" s="19">
        <f t="shared" si="59"/>
        <v>19</v>
      </c>
      <c r="S58" s="19">
        <f t="shared" si="59"/>
        <v>24</v>
      </c>
      <c r="T58" s="19">
        <f t="shared" si="59"/>
        <v>51</v>
      </c>
      <c r="U58" s="19">
        <f t="shared" si="59"/>
        <v>58</v>
      </c>
      <c r="V58" s="19" t="str">
        <f t="shared" si="59"/>
        <v>#VALUE!</v>
      </c>
      <c r="W58" s="19" t="str">
        <f t="shared" si="59"/>
        <v>#VALUE!</v>
      </c>
      <c r="X58" s="19" t="str">
        <f t="shared" si="60"/>
        <v>#VALUE!</v>
      </c>
    </row>
    <row r="59">
      <c r="A59" s="81"/>
      <c r="B59" s="87"/>
      <c r="C59" s="35"/>
      <c r="D59" s="35"/>
      <c r="E59" s="35"/>
      <c r="F59" s="35"/>
      <c r="G59" s="1"/>
      <c r="H59" s="88"/>
      <c r="I59" s="94"/>
      <c r="J59" s="94"/>
      <c r="K59" s="94"/>
      <c r="L59" s="94"/>
      <c r="M59" s="94"/>
      <c r="N59" s="94"/>
      <c r="O59" s="94"/>
      <c r="P59" s="95"/>
      <c r="Q59" s="27"/>
      <c r="R59" s="27"/>
      <c r="S59" s="27"/>
      <c r="T59" s="27"/>
      <c r="U59" s="27"/>
      <c r="V59" s="27"/>
      <c r="W59" s="27"/>
      <c r="X59" s="27"/>
    </row>
    <row r="60">
      <c r="A60" s="81" t="s">
        <v>35</v>
      </c>
      <c r="B60" s="82">
        <v>27.11</v>
      </c>
      <c r="C60" s="103"/>
      <c r="D60" s="104" t="s">
        <v>36</v>
      </c>
      <c r="E60" s="104"/>
      <c r="F60" s="103"/>
      <c r="G60" s="105">
        <f t="shared" ref="G60:G61" si="62">YEAR(H60)</f>
        <v>2016</v>
      </c>
      <c r="H60" s="83">
        <v>42684.0</v>
      </c>
      <c r="I60" s="83">
        <v>42721.0</v>
      </c>
      <c r="J60" s="83">
        <v>42751.0</v>
      </c>
      <c r="K60" s="83">
        <v>42784.0</v>
      </c>
      <c r="L60" s="83">
        <v>42831.0</v>
      </c>
      <c r="M60" s="83">
        <v>42850.0</v>
      </c>
      <c r="N60" s="83">
        <v>42860.0</v>
      </c>
      <c r="O60" s="83">
        <v>42872.0</v>
      </c>
      <c r="P60" s="83">
        <v>42904.0</v>
      </c>
      <c r="Q60" s="27">
        <f t="shared" ref="Q60:W60" si="61">I60-H60</f>
        <v>37</v>
      </c>
      <c r="R60" s="27">
        <f t="shared" si="61"/>
        <v>30</v>
      </c>
      <c r="S60" s="27">
        <f t="shared" si="61"/>
        <v>33</v>
      </c>
      <c r="T60" s="27">
        <f t="shared" si="61"/>
        <v>47</v>
      </c>
      <c r="U60" s="27">
        <f t="shared" si="61"/>
        <v>19</v>
      </c>
      <c r="V60" s="27">
        <f t="shared" si="61"/>
        <v>10</v>
      </c>
      <c r="W60" s="27">
        <f t="shared" si="61"/>
        <v>12</v>
      </c>
      <c r="X60" s="27">
        <f t="shared" ref="X60:X62" si="65">SUM(Q60:W60)</f>
        <v>188</v>
      </c>
    </row>
    <row r="61">
      <c r="A61" s="81" t="s">
        <v>35</v>
      </c>
      <c r="B61" s="82">
        <v>27.14</v>
      </c>
      <c r="C61" s="35"/>
      <c r="D61" s="36" t="s">
        <v>36</v>
      </c>
      <c r="E61" s="36" t="s">
        <v>25</v>
      </c>
      <c r="F61" s="35"/>
      <c r="G61" s="1">
        <f t="shared" si="62"/>
        <v>2016</v>
      </c>
      <c r="H61" s="83">
        <v>42687.0</v>
      </c>
      <c r="I61" s="83">
        <v>42719.0</v>
      </c>
      <c r="J61" s="83">
        <v>42751.0</v>
      </c>
      <c r="K61" s="83">
        <v>42783.0</v>
      </c>
      <c r="L61" s="83">
        <v>42816.0</v>
      </c>
      <c r="M61" s="83">
        <v>42854.0</v>
      </c>
      <c r="N61" s="106">
        <v>42863.0</v>
      </c>
      <c r="O61" s="83">
        <v>42889.0</v>
      </c>
      <c r="P61" s="62">
        <v>42901.0</v>
      </c>
      <c r="Q61" s="27" t="str">
        <f>#REF!-H61</f>
        <v>#REF!</v>
      </c>
      <c r="R61" s="27" t="str">
        <f>I61-#REF!</f>
        <v>#REF!</v>
      </c>
      <c r="S61" s="27">
        <f t="shared" ref="S61:T61" si="63">J61-I61</f>
        <v>32</v>
      </c>
      <c r="T61" s="27">
        <f t="shared" si="63"/>
        <v>32</v>
      </c>
      <c r="U61" s="27">
        <f>M61-K61</f>
        <v>71</v>
      </c>
      <c r="V61" s="27">
        <f t="shared" ref="V61:W61" si="64">N61-M61</f>
        <v>9</v>
      </c>
      <c r="W61" s="27">
        <f t="shared" si="64"/>
        <v>26</v>
      </c>
      <c r="X61" s="27" t="str">
        <f t="shared" si="65"/>
        <v>#REF!</v>
      </c>
    </row>
    <row r="62">
      <c r="A62" s="97">
        <v>1.0</v>
      </c>
      <c r="B62" s="98">
        <v>31.04</v>
      </c>
      <c r="C62" s="30">
        <v>1.0</v>
      </c>
      <c r="D62" s="30" t="s">
        <v>24</v>
      </c>
      <c r="E62" s="31" t="s">
        <v>25</v>
      </c>
      <c r="F62" s="30">
        <v>0.0</v>
      </c>
      <c r="G62" s="32">
        <v>2013.0</v>
      </c>
      <c r="H62" s="107" t="s">
        <v>232</v>
      </c>
      <c r="I62" s="108" t="s">
        <v>233</v>
      </c>
      <c r="J62" s="107" t="s">
        <v>198</v>
      </c>
      <c r="K62" s="107" t="s">
        <v>234</v>
      </c>
      <c r="L62" s="107" t="s">
        <v>235</v>
      </c>
      <c r="M62" s="107" t="s">
        <v>236</v>
      </c>
      <c r="N62" s="107" t="s">
        <v>237</v>
      </c>
      <c r="O62" s="107" t="s">
        <v>238</v>
      </c>
      <c r="P62" s="108" t="s">
        <v>239</v>
      </c>
      <c r="Q62" s="19" t="str">
        <f t="shared" ref="Q62:W62" si="66">I62-H62</f>
        <v>#VALUE!</v>
      </c>
      <c r="R62" s="19" t="str">
        <f t="shared" si="66"/>
        <v>#VALUE!</v>
      </c>
      <c r="S62" s="19" t="str">
        <f t="shared" si="66"/>
        <v>#VALUE!</v>
      </c>
      <c r="T62" s="19" t="str">
        <f t="shared" si="66"/>
        <v>#VALUE!</v>
      </c>
      <c r="U62" s="19" t="str">
        <f t="shared" si="66"/>
        <v>#VALUE!</v>
      </c>
      <c r="V62" s="19" t="str">
        <f t="shared" si="66"/>
        <v>#VALUE!</v>
      </c>
      <c r="W62" s="19" t="str">
        <f t="shared" si="66"/>
        <v>#VALUE!</v>
      </c>
      <c r="X62" s="19" t="str">
        <f t="shared" si="65"/>
        <v>#VALUE!</v>
      </c>
    </row>
    <row r="63">
      <c r="A63" s="97"/>
      <c r="B63" s="98"/>
      <c r="C63" s="30"/>
      <c r="D63" s="30"/>
      <c r="E63" s="31"/>
      <c r="F63" s="30"/>
      <c r="G63" s="32"/>
      <c r="H63" s="107"/>
      <c r="I63" s="107"/>
      <c r="J63" s="107"/>
      <c r="K63" s="107"/>
      <c r="L63" s="107"/>
      <c r="M63" s="107"/>
      <c r="N63" s="107"/>
      <c r="O63" s="107"/>
      <c r="P63" s="107"/>
      <c r="Q63" s="19"/>
      <c r="R63" s="19"/>
      <c r="S63" s="19"/>
      <c r="T63" s="19"/>
      <c r="U63" s="19"/>
      <c r="V63" s="19"/>
      <c r="W63" s="19"/>
      <c r="X63" s="19"/>
    </row>
    <row r="64">
      <c r="A64" s="8" t="s">
        <v>35</v>
      </c>
      <c r="B64" s="9">
        <v>33.01</v>
      </c>
      <c r="C64" s="10"/>
      <c r="D64" s="10" t="s">
        <v>36</v>
      </c>
      <c r="E64" s="10"/>
      <c r="F64" s="10"/>
      <c r="G64" s="11">
        <f>YEAR(H64)</f>
        <v>2016</v>
      </c>
      <c r="H64" s="86">
        <v>42686.0</v>
      </c>
      <c r="I64" s="86">
        <v>42705.0</v>
      </c>
      <c r="J64" s="86">
        <v>42712.0</v>
      </c>
      <c r="K64" s="86">
        <v>42738.0</v>
      </c>
      <c r="L64" s="86">
        <v>42790.0</v>
      </c>
      <c r="M64" s="86">
        <v>42830.0</v>
      </c>
      <c r="N64" s="86">
        <v>42842.0</v>
      </c>
      <c r="O64" s="86">
        <v>42858.0</v>
      </c>
      <c r="P64" s="86">
        <v>42888.0</v>
      </c>
      <c r="Q64" s="12">
        <f t="shared" ref="Q64:W64" si="67">I64-H64</f>
        <v>19</v>
      </c>
      <c r="R64" s="12">
        <f t="shared" si="67"/>
        <v>7</v>
      </c>
      <c r="S64" s="12">
        <f t="shared" si="67"/>
        <v>26</v>
      </c>
      <c r="T64" s="12">
        <f t="shared" si="67"/>
        <v>52</v>
      </c>
      <c r="U64" s="12">
        <f t="shared" si="67"/>
        <v>40</v>
      </c>
      <c r="V64" s="12">
        <f t="shared" si="67"/>
        <v>12</v>
      </c>
      <c r="W64" s="12">
        <f t="shared" si="67"/>
        <v>16</v>
      </c>
      <c r="X64" s="12">
        <f t="shared" ref="X64:X127" si="69">SUM(Q64:W64)</f>
        <v>172</v>
      </c>
      <c r="Y64" s="10"/>
      <c r="Z64" s="10"/>
      <c r="AA64" s="10"/>
      <c r="AB64" s="10"/>
    </row>
    <row r="65">
      <c r="A65" s="97">
        <v>1.0</v>
      </c>
      <c r="B65" s="109">
        <v>34.01</v>
      </c>
      <c r="C65" s="30">
        <v>2.0</v>
      </c>
      <c r="D65" s="30" t="s">
        <v>24</v>
      </c>
      <c r="E65" s="31" t="s">
        <v>240</v>
      </c>
      <c r="F65" s="30">
        <v>1.0</v>
      </c>
      <c r="G65" s="32">
        <v>2013.0</v>
      </c>
      <c r="H65" s="107" t="s">
        <v>241</v>
      </c>
      <c r="I65" s="107" t="s">
        <v>242</v>
      </c>
      <c r="J65" s="107" t="s">
        <v>243</v>
      </c>
      <c r="K65" s="107" t="s">
        <v>244</v>
      </c>
      <c r="L65" s="107" t="s">
        <v>245</v>
      </c>
      <c r="M65" s="107" t="s">
        <v>246</v>
      </c>
      <c r="N65" s="107" t="s">
        <v>247</v>
      </c>
      <c r="O65" s="107" t="s">
        <v>248</v>
      </c>
      <c r="P65" s="107" t="s">
        <v>249</v>
      </c>
      <c r="Q65" s="19" t="str">
        <f t="shared" ref="Q65:W65" si="68">I65-H65</f>
        <v>#VALUE!</v>
      </c>
      <c r="R65" s="19" t="str">
        <f t="shared" si="68"/>
        <v>#VALUE!</v>
      </c>
      <c r="S65" s="19" t="str">
        <f t="shared" si="68"/>
        <v>#VALUE!</v>
      </c>
      <c r="T65" s="19" t="str">
        <f t="shared" si="68"/>
        <v>#VALUE!</v>
      </c>
      <c r="U65" s="19" t="str">
        <f t="shared" si="68"/>
        <v>#VALUE!</v>
      </c>
      <c r="V65" s="19" t="str">
        <f t="shared" si="68"/>
        <v>#VALUE!</v>
      </c>
      <c r="W65" s="19" t="str">
        <f t="shared" si="68"/>
        <v>#VALUE!</v>
      </c>
      <c r="X65" s="19" t="str">
        <f t="shared" si="69"/>
        <v>#VALUE!</v>
      </c>
    </row>
    <row r="66">
      <c r="A66" s="8">
        <v>1.0</v>
      </c>
      <c r="B66" s="9">
        <v>34.02</v>
      </c>
      <c r="C66" s="10">
        <v>1.0</v>
      </c>
      <c r="D66" s="10" t="s">
        <v>24</v>
      </c>
      <c r="E66" s="10" t="s">
        <v>185</v>
      </c>
      <c r="F66" s="10">
        <v>0.0</v>
      </c>
      <c r="G66" s="11">
        <v>2014.0</v>
      </c>
      <c r="H66" s="8" t="s">
        <v>250</v>
      </c>
      <c r="I66" s="8" t="s">
        <v>251</v>
      </c>
      <c r="J66" s="8" t="s">
        <v>252</v>
      </c>
      <c r="K66" s="8" t="s">
        <v>253</v>
      </c>
      <c r="L66" s="8" t="s">
        <v>254</v>
      </c>
      <c r="M66" s="8" t="s">
        <v>255</v>
      </c>
      <c r="N66" s="8" t="s">
        <v>256</v>
      </c>
      <c r="O66" s="8" t="s">
        <v>257</v>
      </c>
      <c r="P66" s="8" t="s">
        <v>258</v>
      </c>
      <c r="Q66" s="12" t="str">
        <f t="shared" ref="Q66:W66" si="70">I66-H66</f>
        <v>#VALUE!</v>
      </c>
      <c r="R66" s="12" t="str">
        <f t="shared" si="70"/>
        <v>#VALUE!</v>
      </c>
      <c r="S66" s="12" t="str">
        <f t="shared" si="70"/>
        <v>#VALUE!</v>
      </c>
      <c r="T66" s="12" t="str">
        <f t="shared" si="70"/>
        <v>#VALUE!</v>
      </c>
      <c r="U66" s="12" t="str">
        <f t="shared" si="70"/>
        <v>#VALUE!</v>
      </c>
      <c r="V66" s="12" t="str">
        <f t="shared" si="70"/>
        <v>#VALUE!</v>
      </c>
      <c r="W66" s="12" t="str">
        <f t="shared" si="70"/>
        <v>#VALUE!</v>
      </c>
      <c r="X66" s="12" t="str">
        <f t="shared" si="69"/>
        <v>#VALUE!</v>
      </c>
      <c r="Y66" s="10"/>
      <c r="Z66" s="10"/>
      <c r="AA66" s="10"/>
      <c r="AB66" s="10"/>
    </row>
    <row r="67">
      <c r="A67" s="81">
        <v>1.0</v>
      </c>
      <c r="B67" s="87">
        <v>34.03</v>
      </c>
      <c r="C67" s="35">
        <v>1.0</v>
      </c>
      <c r="D67" s="35" t="s">
        <v>259</v>
      </c>
      <c r="E67" s="35"/>
      <c r="F67" s="35">
        <v>0.0</v>
      </c>
      <c r="G67" s="1">
        <v>2014.0</v>
      </c>
      <c r="H67" s="69" t="s">
        <v>260</v>
      </c>
      <c r="I67" s="110" t="s">
        <v>251</v>
      </c>
      <c r="J67" s="110" t="s">
        <v>261</v>
      </c>
      <c r="K67" s="110" t="s">
        <v>262</v>
      </c>
      <c r="L67" s="110" t="s">
        <v>263</v>
      </c>
      <c r="M67" s="110" t="s">
        <v>264</v>
      </c>
      <c r="N67" s="110" t="s">
        <v>256</v>
      </c>
      <c r="O67" s="110" t="s">
        <v>265</v>
      </c>
      <c r="P67" s="110" t="s">
        <v>266</v>
      </c>
      <c r="Q67" s="27" t="str">
        <f t="shared" ref="Q67:W67" si="71">I67-H67</f>
        <v>#VALUE!</v>
      </c>
      <c r="R67" s="27" t="str">
        <f t="shared" si="71"/>
        <v>#VALUE!</v>
      </c>
      <c r="S67" s="27" t="str">
        <f t="shared" si="71"/>
        <v>#VALUE!</v>
      </c>
      <c r="T67" s="27" t="str">
        <f t="shared" si="71"/>
        <v>#VALUE!</v>
      </c>
      <c r="U67" s="27" t="str">
        <f t="shared" si="71"/>
        <v>#VALUE!</v>
      </c>
      <c r="V67" s="27" t="str">
        <f t="shared" si="71"/>
        <v>#VALUE!</v>
      </c>
      <c r="W67" s="27" t="str">
        <f t="shared" si="71"/>
        <v>#VALUE!</v>
      </c>
      <c r="X67" s="27" t="str">
        <f t="shared" si="69"/>
        <v>#VALUE!</v>
      </c>
    </row>
    <row r="68">
      <c r="A68" s="97">
        <v>1.0</v>
      </c>
      <c r="B68" s="109">
        <v>35.05</v>
      </c>
      <c r="C68" s="30">
        <v>2.0</v>
      </c>
      <c r="D68" s="30" t="s">
        <v>259</v>
      </c>
      <c r="E68" s="31" t="s">
        <v>37</v>
      </c>
      <c r="F68" s="30">
        <v>1.0</v>
      </c>
      <c r="G68" s="32">
        <v>2013.0</v>
      </c>
      <c r="H68" s="111" t="s">
        <v>267</v>
      </c>
      <c r="I68" s="111" t="s">
        <v>243</v>
      </c>
      <c r="J68" s="107" t="s">
        <v>268</v>
      </c>
      <c r="K68" s="107" t="s">
        <v>269</v>
      </c>
      <c r="L68" s="107" t="s">
        <v>270</v>
      </c>
      <c r="M68" s="107" t="s">
        <v>271</v>
      </c>
      <c r="N68" s="107" t="s">
        <v>272</v>
      </c>
      <c r="O68" s="107" t="s">
        <v>120</v>
      </c>
      <c r="P68" s="107" t="s">
        <v>273</v>
      </c>
      <c r="Q68" s="19" t="str">
        <f t="shared" ref="Q68:R68" si="72">I68-H68</f>
        <v>#VALUE!</v>
      </c>
      <c r="R68" s="19" t="str">
        <f t="shared" si="72"/>
        <v>#VALUE!</v>
      </c>
      <c r="S68" s="19" t="str">
        <f>L68-J68</f>
        <v>#VALUE!</v>
      </c>
      <c r="T68" s="19" t="str">
        <f>M68-L68</f>
        <v>#VALUE!</v>
      </c>
      <c r="U68" s="19" t="str">
        <f>#REF!-M68</f>
        <v>#REF!</v>
      </c>
      <c r="V68" s="19" t="str">
        <f>N68-#REF!</f>
        <v>#REF!</v>
      </c>
      <c r="W68" s="19" t="str">
        <f>O68-N68</f>
        <v>#VALUE!</v>
      </c>
      <c r="X68" s="19" t="str">
        <f t="shared" si="69"/>
        <v>#VALUE!</v>
      </c>
    </row>
    <row r="69">
      <c r="A69" s="81">
        <v>1.0</v>
      </c>
      <c r="B69" s="112">
        <v>38.07</v>
      </c>
      <c r="C69" s="35"/>
      <c r="D69" s="35" t="s">
        <v>274</v>
      </c>
      <c r="E69" s="35"/>
      <c r="F69" s="35"/>
      <c r="G69" s="1">
        <v>2014.0</v>
      </c>
      <c r="H69" s="110" t="s">
        <v>275</v>
      </c>
      <c r="I69" s="110" t="s">
        <v>276</v>
      </c>
      <c r="J69" s="110" t="s">
        <v>277</v>
      </c>
      <c r="K69" s="110" t="s">
        <v>278</v>
      </c>
      <c r="L69" s="110" t="s">
        <v>31</v>
      </c>
      <c r="M69" s="110" t="s">
        <v>279</v>
      </c>
      <c r="N69" s="110" t="s">
        <v>280</v>
      </c>
      <c r="O69" s="110" t="s">
        <v>281</v>
      </c>
      <c r="P69" s="110" t="s">
        <v>282</v>
      </c>
      <c r="Q69" s="27" t="str">
        <f t="shared" ref="Q69:W69" si="73">I69-H69</f>
        <v>#VALUE!</v>
      </c>
      <c r="R69" s="27" t="str">
        <f t="shared" si="73"/>
        <v>#VALUE!</v>
      </c>
      <c r="S69" s="27" t="str">
        <f t="shared" si="73"/>
        <v>#VALUE!</v>
      </c>
      <c r="T69" s="27" t="str">
        <f t="shared" si="73"/>
        <v>#VALUE!</v>
      </c>
      <c r="U69" s="28" t="str">
        <f t="shared" si="73"/>
        <v>#VALUE!</v>
      </c>
      <c r="V69" s="27" t="str">
        <f t="shared" si="73"/>
        <v>#VALUE!</v>
      </c>
      <c r="W69" s="27" t="str">
        <f t="shared" si="73"/>
        <v>#VALUE!</v>
      </c>
      <c r="X69" s="27" t="str">
        <f t="shared" si="69"/>
        <v>#VALUE!</v>
      </c>
    </row>
    <row r="70">
      <c r="A70" s="81">
        <v>1.0</v>
      </c>
      <c r="B70" s="113">
        <v>39.02</v>
      </c>
      <c r="C70" s="35">
        <v>2.0</v>
      </c>
      <c r="D70" s="35" t="s">
        <v>24</v>
      </c>
      <c r="E70" s="35" t="s">
        <v>37</v>
      </c>
      <c r="F70" s="35">
        <v>1.0</v>
      </c>
      <c r="G70" s="1">
        <v>2013.0</v>
      </c>
      <c r="H70" s="114" t="s">
        <v>172</v>
      </c>
      <c r="I70" s="114" t="s">
        <v>184</v>
      </c>
      <c r="J70" s="114" t="s">
        <v>283</v>
      </c>
      <c r="K70" s="110" t="s">
        <v>284</v>
      </c>
      <c r="L70" s="110" t="s">
        <v>285</v>
      </c>
      <c r="M70" s="110" t="s">
        <v>286</v>
      </c>
      <c r="N70" s="110" t="s">
        <v>287</v>
      </c>
      <c r="O70" s="110" t="s">
        <v>288</v>
      </c>
      <c r="P70" s="110" t="s">
        <v>289</v>
      </c>
      <c r="Q70" s="27" t="str">
        <f t="shared" ref="Q70:W70" si="74">I70-H70</f>
        <v>#VALUE!</v>
      </c>
      <c r="R70" s="27" t="str">
        <f t="shared" si="74"/>
        <v>#VALUE!</v>
      </c>
      <c r="S70" s="27" t="str">
        <f t="shared" si="74"/>
        <v>#VALUE!</v>
      </c>
      <c r="T70" s="27" t="str">
        <f t="shared" si="74"/>
        <v>#VALUE!</v>
      </c>
      <c r="U70" s="27" t="str">
        <f t="shared" si="74"/>
        <v>#VALUE!</v>
      </c>
      <c r="V70" s="27" t="str">
        <f t="shared" si="74"/>
        <v>#VALUE!</v>
      </c>
      <c r="W70" s="27" t="str">
        <f t="shared" si="74"/>
        <v>#VALUE!</v>
      </c>
      <c r="X70" s="27" t="str">
        <f t="shared" si="69"/>
        <v>#VALUE!</v>
      </c>
    </row>
    <row r="71">
      <c r="A71" s="81">
        <v>1.0</v>
      </c>
      <c r="B71" s="87">
        <v>39.02</v>
      </c>
      <c r="C71" s="35"/>
      <c r="D71" s="35" t="s">
        <v>36</v>
      </c>
      <c r="E71" s="35"/>
      <c r="F71" s="35"/>
      <c r="G71" s="1">
        <v>2014.0</v>
      </c>
      <c r="H71" s="110" t="s">
        <v>290</v>
      </c>
      <c r="I71" s="110" t="s">
        <v>291</v>
      </c>
      <c r="J71" s="110" t="s">
        <v>292</v>
      </c>
      <c r="K71" s="110" t="s">
        <v>293</v>
      </c>
      <c r="L71" s="110" t="s">
        <v>294</v>
      </c>
      <c r="M71" s="110" t="s">
        <v>264</v>
      </c>
      <c r="N71" s="110" t="s">
        <v>295</v>
      </c>
      <c r="O71" s="110" t="s">
        <v>296</v>
      </c>
      <c r="P71" s="110" t="s">
        <v>297</v>
      </c>
      <c r="Q71" s="27" t="str">
        <f t="shared" ref="Q71:W71" si="75">I71-H71</f>
        <v>#VALUE!</v>
      </c>
      <c r="R71" s="27" t="str">
        <f t="shared" si="75"/>
        <v>#VALUE!</v>
      </c>
      <c r="S71" s="28" t="str">
        <f t="shared" si="75"/>
        <v>#VALUE!</v>
      </c>
      <c r="T71" s="27" t="str">
        <f t="shared" si="75"/>
        <v>#VALUE!</v>
      </c>
      <c r="U71" s="27" t="str">
        <f t="shared" si="75"/>
        <v>#VALUE!</v>
      </c>
      <c r="V71" s="27" t="str">
        <f t="shared" si="75"/>
        <v>#VALUE!</v>
      </c>
      <c r="W71" s="27" t="str">
        <f t="shared" si="75"/>
        <v>#VALUE!</v>
      </c>
      <c r="X71" s="27" t="str">
        <f t="shared" si="69"/>
        <v>#VALUE!</v>
      </c>
    </row>
    <row r="72">
      <c r="A72" s="97">
        <v>1.0</v>
      </c>
      <c r="B72" s="98">
        <v>39.03</v>
      </c>
      <c r="C72" s="30">
        <v>1.0</v>
      </c>
      <c r="D72" s="30" t="s">
        <v>24</v>
      </c>
      <c r="E72" s="31" t="s">
        <v>25</v>
      </c>
      <c r="F72" s="30">
        <v>1.0</v>
      </c>
      <c r="G72" s="32">
        <v>2013.0</v>
      </c>
      <c r="H72" s="107" t="s">
        <v>298</v>
      </c>
      <c r="I72" s="107" t="s">
        <v>299</v>
      </c>
      <c r="J72" s="107" t="s">
        <v>300</v>
      </c>
      <c r="K72" s="107" t="s">
        <v>301</v>
      </c>
      <c r="L72" s="107" t="s">
        <v>60</v>
      </c>
      <c r="M72" s="111" t="s">
        <v>302</v>
      </c>
      <c r="N72" s="111" t="s">
        <v>302</v>
      </c>
      <c r="O72" s="111" t="s">
        <v>302</v>
      </c>
      <c r="P72" s="111" t="s">
        <v>303</v>
      </c>
      <c r="Q72" s="19" t="str">
        <f t="shared" ref="Q72:W72" si="76">I72-H72</f>
        <v>#VALUE!</v>
      </c>
      <c r="R72" s="19" t="str">
        <f t="shared" si="76"/>
        <v>#VALUE!</v>
      </c>
      <c r="S72" s="19" t="str">
        <f t="shared" si="76"/>
        <v>#VALUE!</v>
      </c>
      <c r="T72" s="19" t="str">
        <f t="shared" si="76"/>
        <v>#VALUE!</v>
      </c>
      <c r="U72" s="19" t="str">
        <f t="shared" si="76"/>
        <v>#VALUE!</v>
      </c>
      <c r="V72" s="19" t="str">
        <f t="shared" si="76"/>
        <v>#VALUE!</v>
      </c>
      <c r="W72" s="19" t="str">
        <f t="shared" si="76"/>
        <v>#VALUE!</v>
      </c>
      <c r="X72" s="19" t="str">
        <f t="shared" si="69"/>
        <v>#VALUE!</v>
      </c>
    </row>
    <row r="73">
      <c r="A73" s="97">
        <v>1.0</v>
      </c>
      <c r="B73" s="98">
        <v>39.04</v>
      </c>
      <c r="C73" s="30">
        <v>1.0</v>
      </c>
      <c r="D73" s="30" t="s">
        <v>24</v>
      </c>
      <c r="E73" s="30"/>
      <c r="F73" s="30">
        <v>1.0</v>
      </c>
      <c r="G73" s="32">
        <v>2013.0</v>
      </c>
      <c r="H73" s="107" t="s">
        <v>304</v>
      </c>
      <c r="I73" s="107" t="s">
        <v>305</v>
      </c>
      <c r="J73" s="107" t="s">
        <v>267</v>
      </c>
      <c r="K73" s="107" t="s">
        <v>215</v>
      </c>
      <c r="L73" s="107" t="s">
        <v>200</v>
      </c>
      <c r="M73" s="107" t="s">
        <v>286</v>
      </c>
      <c r="N73" s="107" t="s">
        <v>306</v>
      </c>
      <c r="O73" s="107" t="s">
        <v>307</v>
      </c>
      <c r="P73" s="107" t="s">
        <v>308</v>
      </c>
      <c r="Q73" s="19" t="str">
        <f t="shared" ref="Q73:W73" si="77">I73-H73</f>
        <v>#VALUE!</v>
      </c>
      <c r="R73" s="19" t="str">
        <f t="shared" si="77"/>
        <v>#VALUE!</v>
      </c>
      <c r="S73" s="19" t="str">
        <f t="shared" si="77"/>
        <v>#VALUE!</v>
      </c>
      <c r="T73" s="19" t="str">
        <f t="shared" si="77"/>
        <v>#VALUE!</v>
      </c>
      <c r="U73" s="19" t="str">
        <f t="shared" si="77"/>
        <v>#VALUE!</v>
      </c>
      <c r="V73" s="19" t="str">
        <f t="shared" si="77"/>
        <v>#VALUE!</v>
      </c>
      <c r="W73" s="19" t="str">
        <f t="shared" si="77"/>
        <v>#VALUE!</v>
      </c>
      <c r="X73" s="19" t="str">
        <f t="shared" si="69"/>
        <v>#VALUE!</v>
      </c>
    </row>
    <row r="74">
      <c r="A74" s="81">
        <v>1.0</v>
      </c>
      <c r="B74" s="87">
        <v>39.04</v>
      </c>
      <c r="C74" s="35">
        <v>2.0</v>
      </c>
      <c r="D74" s="35" t="s">
        <v>24</v>
      </c>
      <c r="E74" s="35"/>
      <c r="F74" s="35">
        <v>0.0</v>
      </c>
      <c r="G74" s="1">
        <v>2014.0</v>
      </c>
      <c r="H74" s="110" t="s">
        <v>309</v>
      </c>
      <c r="I74" s="110" t="s">
        <v>310</v>
      </c>
      <c r="J74" s="110" t="s">
        <v>311</v>
      </c>
      <c r="K74" s="110" t="s">
        <v>312</v>
      </c>
      <c r="L74" s="110" t="s">
        <v>313</v>
      </c>
      <c r="M74" s="110" t="s">
        <v>314</v>
      </c>
      <c r="N74" s="110" t="s">
        <v>315</v>
      </c>
      <c r="O74" s="69" t="s">
        <v>316</v>
      </c>
      <c r="P74" s="110" t="s">
        <v>317</v>
      </c>
      <c r="Q74" s="27" t="str">
        <f t="shared" ref="Q74:W74" si="78">I74-H74</f>
        <v>#VALUE!</v>
      </c>
      <c r="R74" s="27" t="str">
        <f t="shared" si="78"/>
        <v>#VALUE!</v>
      </c>
      <c r="S74" s="27" t="str">
        <f t="shared" si="78"/>
        <v>#VALUE!</v>
      </c>
      <c r="T74" s="27" t="str">
        <f t="shared" si="78"/>
        <v>#VALUE!</v>
      </c>
      <c r="U74" s="27" t="str">
        <f t="shared" si="78"/>
        <v>#VALUE!</v>
      </c>
      <c r="V74" s="27" t="str">
        <f t="shared" si="78"/>
        <v>#VALUE!</v>
      </c>
      <c r="W74" s="27" t="str">
        <f t="shared" si="78"/>
        <v>#VALUE!</v>
      </c>
      <c r="X74" s="27" t="str">
        <f t="shared" si="69"/>
        <v>#VALUE!</v>
      </c>
    </row>
    <row r="75">
      <c r="A75" s="81" t="s">
        <v>35</v>
      </c>
      <c r="B75" s="82">
        <v>40.11</v>
      </c>
      <c r="C75" s="35"/>
      <c r="D75" s="36" t="s">
        <v>36</v>
      </c>
      <c r="E75" s="36"/>
      <c r="F75" s="35"/>
      <c r="G75" s="1">
        <f t="shared" ref="G75:G77" si="80">YEAR(H75)</f>
        <v>2016</v>
      </c>
      <c r="H75" s="83">
        <v>42642.0</v>
      </c>
      <c r="I75" s="83">
        <v>42793.0</v>
      </c>
      <c r="J75" s="83">
        <v>42823.0</v>
      </c>
      <c r="K75" s="83">
        <v>42843.0</v>
      </c>
      <c r="L75" s="83">
        <v>42872.0</v>
      </c>
      <c r="M75" s="83">
        <v>42882.0</v>
      </c>
      <c r="N75" s="83">
        <v>42899.0</v>
      </c>
      <c r="O75" s="83">
        <v>42915.0</v>
      </c>
      <c r="P75" s="83">
        <v>42962.0</v>
      </c>
      <c r="Q75" s="27">
        <f t="shared" ref="Q75:W75" si="79">I75-H75</f>
        <v>151</v>
      </c>
      <c r="R75" s="27">
        <f t="shared" si="79"/>
        <v>30</v>
      </c>
      <c r="S75" s="27">
        <f t="shared" si="79"/>
        <v>20</v>
      </c>
      <c r="T75" s="27">
        <f t="shared" si="79"/>
        <v>29</v>
      </c>
      <c r="U75" s="27">
        <f t="shared" si="79"/>
        <v>10</v>
      </c>
      <c r="V75" s="27">
        <f t="shared" si="79"/>
        <v>17</v>
      </c>
      <c r="W75" s="27">
        <f t="shared" si="79"/>
        <v>16</v>
      </c>
      <c r="X75" s="27">
        <f t="shared" si="69"/>
        <v>273</v>
      </c>
    </row>
    <row r="76">
      <c r="A76" s="81" t="s">
        <v>35</v>
      </c>
      <c r="B76" s="82">
        <v>42.15</v>
      </c>
      <c r="C76" s="35"/>
      <c r="D76" s="36" t="s">
        <v>36</v>
      </c>
      <c r="E76" s="36"/>
      <c r="F76" s="35"/>
      <c r="G76" s="1">
        <f t="shared" si="80"/>
        <v>2016</v>
      </c>
      <c r="H76" s="83">
        <v>42680.0</v>
      </c>
      <c r="I76" s="83">
        <v>42801.0</v>
      </c>
      <c r="J76" s="83">
        <v>42813.0</v>
      </c>
      <c r="K76" s="83">
        <v>42832.0</v>
      </c>
      <c r="L76" s="83">
        <v>42853.0</v>
      </c>
      <c r="M76" s="83">
        <v>42883.0</v>
      </c>
      <c r="N76" s="83">
        <v>42893.0</v>
      </c>
      <c r="O76" s="83">
        <v>42917.0</v>
      </c>
      <c r="P76" s="115" t="s">
        <v>318</v>
      </c>
      <c r="Q76" s="27">
        <f t="shared" ref="Q76:W76" si="81">I76-H76</f>
        <v>121</v>
      </c>
      <c r="R76" s="27">
        <f t="shared" si="81"/>
        <v>12</v>
      </c>
      <c r="S76" s="27">
        <f t="shared" si="81"/>
        <v>19</v>
      </c>
      <c r="T76" s="27">
        <f t="shared" si="81"/>
        <v>21</v>
      </c>
      <c r="U76" s="27">
        <f t="shared" si="81"/>
        <v>30</v>
      </c>
      <c r="V76" s="27">
        <f t="shared" si="81"/>
        <v>10</v>
      </c>
      <c r="W76" s="27">
        <f t="shared" si="81"/>
        <v>24</v>
      </c>
      <c r="X76" s="27">
        <f t="shared" si="69"/>
        <v>237</v>
      </c>
    </row>
    <row r="77">
      <c r="A77" s="81" t="s">
        <v>35</v>
      </c>
      <c r="B77" s="82">
        <v>42.16</v>
      </c>
      <c r="C77" s="35"/>
      <c r="D77" s="36" t="s">
        <v>274</v>
      </c>
      <c r="E77" s="36"/>
      <c r="F77" s="35"/>
      <c r="G77" s="1">
        <f t="shared" si="80"/>
        <v>2016</v>
      </c>
      <c r="H77" s="83">
        <v>42689.0</v>
      </c>
      <c r="I77" s="83">
        <v>42807.0</v>
      </c>
      <c r="J77" s="83">
        <v>42822.0</v>
      </c>
      <c r="K77" s="83">
        <v>42844.0</v>
      </c>
      <c r="L77" s="83">
        <v>42872.0</v>
      </c>
      <c r="M77" s="83">
        <v>42880.0</v>
      </c>
      <c r="N77" s="83">
        <v>42897.0</v>
      </c>
      <c r="O77" s="83">
        <v>42911.0</v>
      </c>
      <c r="P77" s="83">
        <v>42965.0</v>
      </c>
      <c r="Q77" s="27">
        <f t="shared" ref="Q77:W77" si="82">I77-H77</f>
        <v>118</v>
      </c>
      <c r="R77" s="27">
        <f t="shared" si="82"/>
        <v>15</v>
      </c>
      <c r="S77" s="27">
        <f t="shared" si="82"/>
        <v>22</v>
      </c>
      <c r="T77" s="27">
        <f t="shared" si="82"/>
        <v>28</v>
      </c>
      <c r="U77" s="27">
        <f t="shared" si="82"/>
        <v>8</v>
      </c>
      <c r="V77" s="27">
        <f t="shared" si="82"/>
        <v>17</v>
      </c>
      <c r="W77" s="27">
        <f t="shared" si="82"/>
        <v>14</v>
      </c>
      <c r="X77" s="27">
        <f t="shared" si="69"/>
        <v>222</v>
      </c>
    </row>
    <row r="78">
      <c r="A78" s="81">
        <v>1.0</v>
      </c>
      <c r="B78" s="113">
        <v>43.01</v>
      </c>
      <c r="C78" s="35">
        <v>1.0</v>
      </c>
      <c r="D78" s="35" t="s">
        <v>24</v>
      </c>
      <c r="E78" s="35"/>
      <c r="F78" s="35">
        <v>1.0</v>
      </c>
      <c r="G78" s="1">
        <v>2013.0</v>
      </c>
      <c r="H78" s="71" t="s">
        <v>319</v>
      </c>
      <c r="I78" s="71" t="s">
        <v>320</v>
      </c>
      <c r="J78" s="110" t="s">
        <v>269</v>
      </c>
      <c r="K78" s="110" t="s">
        <v>236</v>
      </c>
      <c r="L78" s="110" t="s">
        <v>321</v>
      </c>
      <c r="M78" s="110" t="s">
        <v>287</v>
      </c>
      <c r="N78" s="110" t="s">
        <v>322</v>
      </c>
      <c r="O78" s="110" t="s">
        <v>323</v>
      </c>
      <c r="P78" s="110" t="s">
        <v>324</v>
      </c>
      <c r="Q78" s="27" t="str">
        <f t="shared" ref="Q78:W78" si="83">I78-H78</f>
        <v>#VALUE!</v>
      </c>
      <c r="R78" s="27" t="str">
        <f t="shared" si="83"/>
        <v>#VALUE!</v>
      </c>
      <c r="S78" s="27" t="str">
        <f t="shared" si="83"/>
        <v>#VALUE!</v>
      </c>
      <c r="T78" s="27" t="str">
        <f t="shared" si="83"/>
        <v>#VALUE!</v>
      </c>
      <c r="U78" s="27" t="str">
        <f t="shared" si="83"/>
        <v>#VALUE!</v>
      </c>
      <c r="V78" s="27" t="str">
        <f t="shared" si="83"/>
        <v>#VALUE!</v>
      </c>
      <c r="W78" s="27" t="str">
        <f t="shared" si="83"/>
        <v>#VALUE!</v>
      </c>
      <c r="X78" s="27" t="str">
        <f t="shared" si="69"/>
        <v>#VALUE!</v>
      </c>
    </row>
    <row r="79">
      <c r="A79" s="97">
        <v>1.0</v>
      </c>
      <c r="B79" s="116">
        <v>43.03</v>
      </c>
      <c r="C79" s="30">
        <v>1.0</v>
      </c>
      <c r="D79" s="30" t="s">
        <v>259</v>
      </c>
      <c r="E79" s="30"/>
      <c r="F79" s="30">
        <v>1.0</v>
      </c>
      <c r="G79" s="32">
        <v>2013.0</v>
      </c>
      <c r="H79" s="73" t="s">
        <v>122</v>
      </c>
      <c r="I79" s="73" t="s">
        <v>325</v>
      </c>
      <c r="J79" s="107" t="s">
        <v>269</v>
      </c>
      <c r="K79" s="107" t="s">
        <v>237</v>
      </c>
      <c r="L79" s="107" t="s">
        <v>202</v>
      </c>
      <c r="M79" s="107" t="s">
        <v>326</v>
      </c>
      <c r="N79" s="107" t="s">
        <v>327</v>
      </c>
      <c r="O79" s="107" t="s">
        <v>328</v>
      </c>
      <c r="P79" s="107" t="s">
        <v>329</v>
      </c>
      <c r="Q79" s="19" t="str">
        <f t="shared" ref="Q79:W79" si="84">I79-H79</f>
        <v>#VALUE!</v>
      </c>
      <c r="R79" s="19" t="str">
        <f t="shared" si="84"/>
        <v>#VALUE!</v>
      </c>
      <c r="S79" s="19" t="str">
        <f t="shared" si="84"/>
        <v>#VALUE!</v>
      </c>
      <c r="T79" s="19" t="str">
        <f t="shared" si="84"/>
        <v>#VALUE!</v>
      </c>
      <c r="U79" s="19" t="str">
        <f t="shared" si="84"/>
        <v>#VALUE!</v>
      </c>
      <c r="V79" s="19" t="str">
        <f t="shared" si="84"/>
        <v>#VALUE!</v>
      </c>
      <c r="W79" s="19" t="str">
        <f t="shared" si="84"/>
        <v>#VALUE!</v>
      </c>
      <c r="X79" s="19" t="str">
        <f t="shared" si="69"/>
        <v>#VALUE!</v>
      </c>
    </row>
    <row r="80">
      <c r="A80" s="97">
        <v>1.0</v>
      </c>
      <c r="B80" s="116">
        <v>43.05</v>
      </c>
      <c r="C80" s="30">
        <v>1.0</v>
      </c>
      <c r="D80" s="30" t="s">
        <v>24</v>
      </c>
      <c r="E80" s="30"/>
      <c r="F80" s="30">
        <v>1.0</v>
      </c>
      <c r="G80" s="32">
        <v>2013.0</v>
      </c>
      <c r="H80" s="73" t="s">
        <v>178</v>
      </c>
      <c r="I80" s="107" t="s">
        <v>330</v>
      </c>
      <c r="J80" s="107" t="s">
        <v>331</v>
      </c>
      <c r="K80" s="107" t="s">
        <v>332</v>
      </c>
      <c r="L80" s="107" t="s">
        <v>333</v>
      </c>
      <c r="M80" s="107" t="s">
        <v>334</v>
      </c>
      <c r="N80" s="107" t="s">
        <v>287</v>
      </c>
      <c r="O80" s="107" t="s">
        <v>307</v>
      </c>
      <c r="P80" s="107" t="s">
        <v>335</v>
      </c>
      <c r="Q80" s="20" t="str">
        <f t="shared" ref="Q80:W80" si="85">I80-H80</f>
        <v>#VALUE!</v>
      </c>
      <c r="R80" s="19" t="str">
        <f t="shared" si="85"/>
        <v>#VALUE!</v>
      </c>
      <c r="S80" s="19" t="str">
        <f t="shared" si="85"/>
        <v>#VALUE!</v>
      </c>
      <c r="T80" s="19" t="str">
        <f t="shared" si="85"/>
        <v>#VALUE!</v>
      </c>
      <c r="U80" s="19" t="str">
        <f t="shared" si="85"/>
        <v>#VALUE!</v>
      </c>
      <c r="V80" s="19" t="str">
        <f t="shared" si="85"/>
        <v>#VALUE!</v>
      </c>
      <c r="W80" s="19" t="str">
        <f t="shared" si="85"/>
        <v>#VALUE!</v>
      </c>
      <c r="X80" s="19" t="str">
        <f t="shared" si="69"/>
        <v>#VALUE!</v>
      </c>
    </row>
    <row r="81">
      <c r="A81" s="97">
        <v>1.0</v>
      </c>
      <c r="B81" s="98">
        <v>45.01</v>
      </c>
      <c r="C81" s="30">
        <v>1.0</v>
      </c>
      <c r="D81" s="30" t="s">
        <v>24</v>
      </c>
      <c r="E81" s="30"/>
      <c r="F81" s="30">
        <v>1.0</v>
      </c>
      <c r="G81" s="32">
        <v>2013.0</v>
      </c>
      <c r="H81" s="73" t="s">
        <v>184</v>
      </c>
      <c r="I81" s="107" t="s">
        <v>267</v>
      </c>
      <c r="J81" s="107" t="s">
        <v>336</v>
      </c>
      <c r="K81" s="107" t="s">
        <v>198</v>
      </c>
      <c r="L81" s="107" t="s">
        <v>337</v>
      </c>
      <c r="M81" s="107" t="s">
        <v>338</v>
      </c>
      <c r="N81" s="107" t="s">
        <v>339</v>
      </c>
      <c r="O81" s="107" t="s">
        <v>340</v>
      </c>
      <c r="P81" s="107" t="s">
        <v>341</v>
      </c>
      <c r="Q81" s="19" t="str">
        <f t="shared" ref="Q81:W81" si="86">I81-H81</f>
        <v>#VALUE!</v>
      </c>
      <c r="R81" s="19" t="str">
        <f t="shared" si="86"/>
        <v>#VALUE!</v>
      </c>
      <c r="S81" s="19" t="str">
        <f t="shared" si="86"/>
        <v>#VALUE!</v>
      </c>
      <c r="T81" s="19" t="str">
        <f t="shared" si="86"/>
        <v>#VALUE!</v>
      </c>
      <c r="U81" s="19" t="str">
        <f t="shared" si="86"/>
        <v>#VALUE!</v>
      </c>
      <c r="V81" s="19" t="str">
        <f t="shared" si="86"/>
        <v>#VALUE!</v>
      </c>
      <c r="W81" s="19" t="str">
        <f t="shared" si="86"/>
        <v>#VALUE!</v>
      </c>
      <c r="X81" s="19" t="str">
        <f t="shared" si="69"/>
        <v>#VALUE!</v>
      </c>
    </row>
    <row r="82">
      <c r="A82" s="81">
        <v>1.0</v>
      </c>
      <c r="B82" s="113">
        <v>45.02</v>
      </c>
      <c r="C82" s="35">
        <v>1.0</v>
      </c>
      <c r="D82" s="35" t="s">
        <v>24</v>
      </c>
      <c r="E82" s="35"/>
      <c r="F82" s="35">
        <v>1.0</v>
      </c>
      <c r="G82" s="1">
        <v>2013.0</v>
      </c>
      <c r="H82" s="71" t="s">
        <v>342</v>
      </c>
      <c r="I82" s="71" t="s">
        <v>343</v>
      </c>
      <c r="J82" s="71" t="s">
        <v>344</v>
      </c>
      <c r="K82" s="71" t="s">
        <v>179</v>
      </c>
      <c r="L82" s="110" t="s">
        <v>345</v>
      </c>
      <c r="M82" s="110" t="s">
        <v>346</v>
      </c>
      <c r="N82" s="110" t="s">
        <v>347</v>
      </c>
      <c r="O82" s="110" t="s">
        <v>286</v>
      </c>
      <c r="P82" s="110" t="s">
        <v>348</v>
      </c>
      <c r="Q82" s="27" t="str">
        <f t="shared" ref="Q82:W82" si="87">I82-H82</f>
        <v>#VALUE!</v>
      </c>
      <c r="R82" s="27" t="str">
        <f t="shared" si="87"/>
        <v>#VALUE!</v>
      </c>
      <c r="S82" s="27" t="str">
        <f t="shared" si="87"/>
        <v>#VALUE!</v>
      </c>
      <c r="T82" s="27" t="str">
        <f t="shared" si="87"/>
        <v>#VALUE!</v>
      </c>
      <c r="U82" s="27" t="str">
        <f t="shared" si="87"/>
        <v>#VALUE!</v>
      </c>
      <c r="V82" s="27" t="str">
        <f t="shared" si="87"/>
        <v>#VALUE!</v>
      </c>
      <c r="W82" s="27" t="str">
        <f t="shared" si="87"/>
        <v>#VALUE!</v>
      </c>
      <c r="X82" s="27" t="str">
        <f t="shared" si="69"/>
        <v>#VALUE!</v>
      </c>
    </row>
    <row r="83">
      <c r="A83" s="81" t="s">
        <v>35</v>
      </c>
      <c r="B83" s="87">
        <v>46.04</v>
      </c>
      <c r="C83" s="35"/>
      <c r="D83" s="36" t="s">
        <v>36</v>
      </c>
      <c r="E83" s="36" t="s">
        <v>37</v>
      </c>
      <c r="F83" s="35"/>
      <c r="G83" s="1">
        <f t="shared" ref="G83:G84" si="89">YEAR(H83)</f>
        <v>2016</v>
      </c>
      <c r="H83" s="69">
        <v>42684.0</v>
      </c>
      <c r="I83" s="69">
        <v>42704.0</v>
      </c>
      <c r="J83" s="69">
        <v>42720.0</v>
      </c>
      <c r="K83" s="69">
        <v>42780.0</v>
      </c>
      <c r="L83" s="69">
        <v>42809.0</v>
      </c>
      <c r="M83" s="69">
        <v>42851.0</v>
      </c>
      <c r="N83" s="69">
        <v>42858.0</v>
      </c>
      <c r="O83" s="69">
        <v>42889.0</v>
      </c>
      <c r="P83" s="69">
        <v>42907.0</v>
      </c>
      <c r="Q83" s="27">
        <f t="shared" ref="Q83:W83" si="88">I83-H83</f>
        <v>20</v>
      </c>
      <c r="R83" s="27">
        <f t="shared" si="88"/>
        <v>16</v>
      </c>
      <c r="S83" s="27">
        <f t="shared" si="88"/>
        <v>60</v>
      </c>
      <c r="T83" s="27">
        <f t="shared" si="88"/>
        <v>29</v>
      </c>
      <c r="U83" s="27">
        <f t="shared" si="88"/>
        <v>42</v>
      </c>
      <c r="V83" s="27">
        <f t="shared" si="88"/>
        <v>7</v>
      </c>
      <c r="W83" s="27">
        <f t="shared" si="88"/>
        <v>31</v>
      </c>
      <c r="X83" s="27">
        <f t="shared" si="69"/>
        <v>205</v>
      </c>
    </row>
    <row r="84">
      <c r="A84" s="81" t="s">
        <v>35</v>
      </c>
      <c r="B84" s="87">
        <v>46.05</v>
      </c>
      <c r="C84" s="35"/>
      <c r="D84" s="36" t="s">
        <v>274</v>
      </c>
      <c r="E84" s="36"/>
      <c r="F84" s="35"/>
      <c r="G84" s="1">
        <f t="shared" si="89"/>
        <v>2016</v>
      </c>
      <c r="H84" s="69">
        <v>42684.0</v>
      </c>
      <c r="I84" s="69">
        <v>42704.0</v>
      </c>
      <c r="J84" s="69">
        <v>42719.0</v>
      </c>
      <c r="K84" s="69">
        <v>42782.0</v>
      </c>
      <c r="L84" s="69">
        <v>42798.0</v>
      </c>
      <c r="M84" s="69">
        <v>42835.0</v>
      </c>
      <c r="N84" s="69">
        <v>42851.0</v>
      </c>
      <c r="O84" s="69">
        <v>42873.0</v>
      </c>
      <c r="P84" s="69">
        <v>42891.0</v>
      </c>
      <c r="Q84" s="27">
        <f t="shared" ref="Q84:W84" si="90">I84-H84</f>
        <v>20</v>
      </c>
      <c r="R84" s="27">
        <f t="shared" si="90"/>
        <v>15</v>
      </c>
      <c r="S84" s="27">
        <f t="shared" si="90"/>
        <v>63</v>
      </c>
      <c r="T84" s="27">
        <f t="shared" si="90"/>
        <v>16</v>
      </c>
      <c r="U84" s="27">
        <f t="shared" si="90"/>
        <v>37</v>
      </c>
      <c r="V84" s="27">
        <f t="shared" si="90"/>
        <v>16</v>
      </c>
      <c r="W84" s="27">
        <f t="shared" si="90"/>
        <v>22</v>
      </c>
      <c r="X84" s="27">
        <f t="shared" si="69"/>
        <v>189</v>
      </c>
    </row>
    <row r="85">
      <c r="A85" s="81">
        <v>1.0</v>
      </c>
      <c r="B85" s="89">
        <v>47.03</v>
      </c>
      <c r="C85" s="35">
        <v>1.0</v>
      </c>
      <c r="D85" s="35" t="s">
        <v>24</v>
      </c>
      <c r="E85" s="35"/>
      <c r="F85" s="35">
        <v>1.0</v>
      </c>
      <c r="G85" s="1">
        <v>2014.0</v>
      </c>
      <c r="H85" s="114" t="s">
        <v>343</v>
      </c>
      <c r="I85" s="114" t="s">
        <v>349</v>
      </c>
      <c r="J85" s="114" t="s">
        <v>350</v>
      </c>
      <c r="K85" s="114" t="s">
        <v>84</v>
      </c>
      <c r="L85" s="114" t="s">
        <v>351</v>
      </c>
      <c r="M85" s="114" t="s">
        <v>352</v>
      </c>
      <c r="N85" s="114" t="s">
        <v>175</v>
      </c>
      <c r="O85" s="114" t="s">
        <v>353</v>
      </c>
      <c r="P85" s="114" t="s">
        <v>354</v>
      </c>
      <c r="Q85" s="27" t="str">
        <f t="shared" ref="Q85:W85" si="91">I85-H85</f>
        <v>#VALUE!</v>
      </c>
      <c r="R85" s="27" t="str">
        <f t="shared" si="91"/>
        <v>#VALUE!</v>
      </c>
      <c r="S85" s="27" t="str">
        <f t="shared" si="91"/>
        <v>#VALUE!</v>
      </c>
      <c r="T85" s="27" t="str">
        <f t="shared" si="91"/>
        <v>#VALUE!</v>
      </c>
      <c r="U85" s="27" t="str">
        <f t="shared" si="91"/>
        <v>#VALUE!</v>
      </c>
      <c r="V85" s="27" t="str">
        <f t="shared" si="91"/>
        <v>#VALUE!</v>
      </c>
      <c r="W85" s="27" t="str">
        <f t="shared" si="91"/>
        <v>#VALUE!</v>
      </c>
      <c r="X85" s="27" t="str">
        <f t="shared" si="69"/>
        <v>#VALUE!</v>
      </c>
    </row>
    <row r="86">
      <c r="A86" s="13">
        <v>1.0</v>
      </c>
      <c r="B86" s="117">
        <v>47.04</v>
      </c>
      <c r="C86" s="118">
        <v>2.0</v>
      </c>
      <c r="D86" s="118" t="s">
        <v>24</v>
      </c>
      <c r="E86" s="119" t="s">
        <v>37</v>
      </c>
      <c r="F86" s="118">
        <v>0.0</v>
      </c>
      <c r="G86" s="120">
        <v>2013.0</v>
      </c>
      <c r="H86" s="107" t="s">
        <v>355</v>
      </c>
      <c r="I86" s="107" t="s">
        <v>356</v>
      </c>
      <c r="J86" s="107" t="s">
        <v>357</v>
      </c>
      <c r="K86" s="107" t="s">
        <v>358</v>
      </c>
      <c r="L86" s="107" t="s">
        <v>359</v>
      </c>
      <c r="M86" s="107" t="s">
        <v>360</v>
      </c>
      <c r="N86" s="107" t="s">
        <v>361</v>
      </c>
      <c r="O86" s="107" t="s">
        <v>362</v>
      </c>
      <c r="P86" s="107" t="s">
        <v>363</v>
      </c>
      <c r="Q86" s="19" t="str">
        <f t="shared" ref="Q86:W86" si="92">I86-H86</f>
        <v>#VALUE!</v>
      </c>
      <c r="R86" s="19" t="str">
        <f t="shared" si="92"/>
        <v>#VALUE!</v>
      </c>
      <c r="S86" s="19" t="str">
        <f t="shared" si="92"/>
        <v>#VALUE!</v>
      </c>
      <c r="T86" s="19" t="str">
        <f t="shared" si="92"/>
        <v>#VALUE!</v>
      </c>
      <c r="U86" s="19" t="str">
        <f t="shared" si="92"/>
        <v>#VALUE!</v>
      </c>
      <c r="V86" s="19" t="str">
        <f t="shared" si="92"/>
        <v>#VALUE!</v>
      </c>
      <c r="W86" s="19" t="str">
        <f t="shared" si="92"/>
        <v>#VALUE!</v>
      </c>
      <c r="X86" s="19" t="str">
        <f t="shared" si="69"/>
        <v>#VALUE!</v>
      </c>
    </row>
    <row r="87">
      <c r="A87" s="21">
        <v>1.0</v>
      </c>
      <c r="B87" s="121">
        <v>47.05</v>
      </c>
      <c r="C87" s="122">
        <v>1.0</v>
      </c>
      <c r="D87" s="122" t="s">
        <v>24</v>
      </c>
      <c r="E87" s="122"/>
      <c r="F87" s="122">
        <v>1.0</v>
      </c>
      <c r="G87" s="123">
        <v>2013.0</v>
      </c>
      <c r="H87" s="110" t="s">
        <v>364</v>
      </c>
      <c r="I87" s="110" t="s">
        <v>365</v>
      </c>
      <c r="J87" s="110" t="s">
        <v>301</v>
      </c>
      <c r="K87" s="110" t="s">
        <v>366</v>
      </c>
      <c r="L87" s="110" t="s">
        <v>367</v>
      </c>
      <c r="M87" s="124" t="s">
        <v>368</v>
      </c>
      <c r="N87" s="124" t="s">
        <v>369</v>
      </c>
      <c r="O87" s="110" t="s">
        <v>326</v>
      </c>
      <c r="P87" s="110" t="s">
        <v>370</v>
      </c>
      <c r="Q87" s="27" t="str">
        <f t="shared" ref="Q87:W87" si="93">I87-H87</f>
        <v>#VALUE!</v>
      </c>
      <c r="R87" s="27" t="str">
        <f t="shared" si="93"/>
        <v>#VALUE!</v>
      </c>
      <c r="S87" s="27" t="str">
        <f t="shared" si="93"/>
        <v>#VALUE!</v>
      </c>
      <c r="T87" s="27" t="str">
        <f t="shared" si="93"/>
        <v>#VALUE!</v>
      </c>
      <c r="U87" s="27" t="str">
        <f t="shared" si="93"/>
        <v>#VALUE!</v>
      </c>
      <c r="V87" s="27" t="str">
        <f t="shared" si="93"/>
        <v>#VALUE!</v>
      </c>
      <c r="W87" s="27" t="str">
        <f t="shared" si="93"/>
        <v>#VALUE!</v>
      </c>
      <c r="X87" s="27" t="str">
        <f t="shared" si="69"/>
        <v>#VALUE!</v>
      </c>
    </row>
    <row r="88">
      <c r="A88" s="21">
        <v>1.0</v>
      </c>
      <c r="B88" s="125">
        <v>48.04</v>
      </c>
      <c r="C88" s="126">
        <v>2.0</v>
      </c>
      <c r="D88" s="126" t="s">
        <v>24</v>
      </c>
      <c r="E88" s="126"/>
      <c r="F88" s="126">
        <v>1.0</v>
      </c>
      <c r="G88" s="127">
        <v>2014.0</v>
      </c>
      <c r="H88" s="65" t="s">
        <v>371</v>
      </c>
      <c r="I88" s="65" t="s">
        <v>372</v>
      </c>
      <c r="J88" s="128" t="s">
        <v>373</v>
      </c>
      <c r="K88" s="128" t="s">
        <v>374</v>
      </c>
      <c r="L88" s="128" t="s">
        <v>375</v>
      </c>
      <c r="M88" s="65" t="s">
        <v>140</v>
      </c>
      <c r="N88" s="128" t="s">
        <v>376</v>
      </c>
      <c r="O88" s="128" t="s">
        <v>377</v>
      </c>
      <c r="P88" s="128" t="s">
        <v>378</v>
      </c>
      <c r="Q88" s="27" t="str">
        <f t="shared" ref="Q88:W88" si="94">I88-H88</f>
        <v>#VALUE!</v>
      </c>
      <c r="R88" s="27" t="str">
        <f t="shared" si="94"/>
        <v>#VALUE!</v>
      </c>
      <c r="S88" s="27" t="str">
        <f t="shared" si="94"/>
        <v>#VALUE!</v>
      </c>
      <c r="T88" s="27" t="str">
        <f t="shared" si="94"/>
        <v>#VALUE!</v>
      </c>
      <c r="U88" s="27" t="str">
        <f t="shared" si="94"/>
        <v>#VALUE!</v>
      </c>
      <c r="V88" s="27" t="str">
        <f t="shared" si="94"/>
        <v>#VALUE!</v>
      </c>
      <c r="W88" s="27" t="str">
        <f t="shared" si="94"/>
        <v>#VALUE!</v>
      </c>
      <c r="X88" s="27" t="str">
        <f t="shared" si="69"/>
        <v>#VALUE!</v>
      </c>
    </row>
    <row r="89">
      <c r="A89" s="13">
        <v>1.0</v>
      </c>
      <c r="B89" s="117">
        <v>48.05</v>
      </c>
      <c r="C89" s="118">
        <v>2.0</v>
      </c>
      <c r="D89" s="118" t="s">
        <v>24</v>
      </c>
      <c r="E89" s="119" t="s">
        <v>37</v>
      </c>
      <c r="F89" s="118">
        <v>1.0</v>
      </c>
      <c r="G89" s="120">
        <v>2014.0</v>
      </c>
      <c r="H89" s="107" t="s">
        <v>379</v>
      </c>
      <c r="I89" s="107" t="s">
        <v>380</v>
      </c>
      <c r="J89" s="107" t="s">
        <v>381</v>
      </c>
      <c r="K89" s="107" t="s">
        <v>382</v>
      </c>
      <c r="L89" s="107" t="s">
        <v>383</v>
      </c>
      <c r="M89" s="107" t="s">
        <v>384</v>
      </c>
      <c r="N89" s="107" t="s">
        <v>385</v>
      </c>
      <c r="O89" s="107" t="s">
        <v>386</v>
      </c>
      <c r="P89" s="107" t="s">
        <v>387</v>
      </c>
      <c r="Q89" s="19" t="str">
        <f t="shared" ref="Q89:W89" si="95">I89-H89</f>
        <v>#VALUE!</v>
      </c>
      <c r="R89" s="19" t="str">
        <f t="shared" si="95"/>
        <v>#VALUE!</v>
      </c>
      <c r="S89" s="19" t="str">
        <f t="shared" si="95"/>
        <v>#VALUE!</v>
      </c>
      <c r="T89" s="19" t="str">
        <f t="shared" si="95"/>
        <v>#VALUE!</v>
      </c>
      <c r="U89" s="19" t="str">
        <f t="shared" si="95"/>
        <v>#VALUE!</v>
      </c>
      <c r="V89" s="19" t="str">
        <f t="shared" si="95"/>
        <v>#VALUE!</v>
      </c>
      <c r="W89" s="19" t="str">
        <f t="shared" si="95"/>
        <v>#VALUE!</v>
      </c>
      <c r="X89" s="19" t="str">
        <f t="shared" si="69"/>
        <v>#VALUE!</v>
      </c>
    </row>
    <row r="90">
      <c r="A90" s="21" t="s">
        <v>35</v>
      </c>
      <c r="B90" s="129">
        <v>54.02</v>
      </c>
      <c r="C90" s="122"/>
      <c r="D90" s="130" t="s">
        <v>36</v>
      </c>
      <c r="E90" s="130" t="s">
        <v>37</v>
      </c>
      <c r="F90" s="122"/>
      <c r="G90" s="123">
        <f t="shared" ref="G90:G91" si="97">YEAR(H90)</f>
        <v>2016</v>
      </c>
      <c r="H90" s="69">
        <v>42701.0</v>
      </c>
      <c r="I90" s="69">
        <v>42750.0</v>
      </c>
      <c r="J90" s="69">
        <v>42776.0</v>
      </c>
      <c r="K90" s="69">
        <v>42801.0</v>
      </c>
      <c r="L90" s="69">
        <v>42816.0</v>
      </c>
      <c r="M90" s="69">
        <v>42857.0</v>
      </c>
      <c r="N90" s="69">
        <v>42880.0</v>
      </c>
      <c r="O90" s="69">
        <v>42897.0</v>
      </c>
      <c r="P90" s="69">
        <v>42926.0</v>
      </c>
      <c r="Q90" s="27">
        <f t="shared" ref="Q90:W90" si="96">I90-H90</f>
        <v>49</v>
      </c>
      <c r="R90" s="27">
        <f t="shared" si="96"/>
        <v>26</v>
      </c>
      <c r="S90" s="27">
        <f t="shared" si="96"/>
        <v>25</v>
      </c>
      <c r="T90" s="27">
        <f t="shared" si="96"/>
        <v>15</v>
      </c>
      <c r="U90" s="27">
        <f t="shared" si="96"/>
        <v>41</v>
      </c>
      <c r="V90" s="27">
        <f t="shared" si="96"/>
        <v>23</v>
      </c>
      <c r="W90" s="27">
        <f t="shared" si="96"/>
        <v>17</v>
      </c>
      <c r="X90" s="27">
        <f t="shared" si="69"/>
        <v>196</v>
      </c>
    </row>
    <row r="91">
      <c r="A91" s="21" t="s">
        <v>35</v>
      </c>
      <c r="B91" s="121">
        <v>60.01</v>
      </c>
      <c r="C91" s="122"/>
      <c r="D91" s="130" t="s">
        <v>36</v>
      </c>
      <c r="E91" s="130" t="s">
        <v>37</v>
      </c>
      <c r="F91" s="122"/>
      <c r="G91" s="123">
        <f t="shared" si="97"/>
        <v>2016</v>
      </c>
      <c r="H91" s="69">
        <v>42721.0</v>
      </c>
      <c r="I91" s="69">
        <v>42776.0</v>
      </c>
      <c r="J91" s="69">
        <v>42791.0</v>
      </c>
      <c r="K91" s="69">
        <v>42805.0</v>
      </c>
      <c r="L91" s="69">
        <v>42819.0</v>
      </c>
      <c r="M91" s="69">
        <v>42861.0</v>
      </c>
      <c r="N91" s="69">
        <v>42877.0</v>
      </c>
      <c r="O91" s="69">
        <v>42899.0</v>
      </c>
      <c r="P91" s="69">
        <v>42919.0</v>
      </c>
      <c r="Q91" s="27">
        <f t="shared" ref="Q91:W91" si="98">I91-H91</f>
        <v>55</v>
      </c>
      <c r="R91" s="27">
        <f t="shared" si="98"/>
        <v>15</v>
      </c>
      <c r="S91" s="27">
        <f t="shared" si="98"/>
        <v>14</v>
      </c>
      <c r="T91" s="27">
        <f t="shared" si="98"/>
        <v>14</v>
      </c>
      <c r="U91" s="27">
        <f t="shared" si="98"/>
        <v>42</v>
      </c>
      <c r="V91" s="27">
        <f t="shared" si="98"/>
        <v>16</v>
      </c>
      <c r="W91" s="27">
        <f t="shared" si="98"/>
        <v>22</v>
      </c>
      <c r="X91" s="27">
        <f t="shared" si="69"/>
        <v>178</v>
      </c>
    </row>
    <row r="92">
      <c r="A92" s="13">
        <v>1.0</v>
      </c>
      <c r="B92" s="117">
        <v>63.01</v>
      </c>
      <c r="C92" s="118">
        <v>1.0</v>
      </c>
      <c r="D92" s="118" t="s">
        <v>259</v>
      </c>
      <c r="E92" s="119" t="s">
        <v>25</v>
      </c>
      <c r="F92" s="118">
        <v>1.0</v>
      </c>
      <c r="G92" s="120">
        <v>2013.0</v>
      </c>
      <c r="H92" s="107" t="s">
        <v>388</v>
      </c>
      <c r="I92" s="107" t="s">
        <v>389</v>
      </c>
      <c r="J92" s="107" t="s">
        <v>390</v>
      </c>
      <c r="K92" s="107" t="s">
        <v>391</v>
      </c>
      <c r="L92" s="107" t="s">
        <v>392</v>
      </c>
      <c r="M92" s="111" t="s">
        <v>104</v>
      </c>
      <c r="N92" s="131" t="s">
        <v>393</v>
      </c>
      <c r="O92" s="107" t="s">
        <v>394</v>
      </c>
      <c r="P92" s="107" t="s">
        <v>118</v>
      </c>
      <c r="Q92" s="19" t="str">
        <f t="shared" ref="Q92:W92" si="99">I92-H92</f>
        <v>#VALUE!</v>
      </c>
      <c r="R92" s="19" t="str">
        <f t="shared" si="99"/>
        <v>#VALUE!</v>
      </c>
      <c r="S92" s="19" t="str">
        <f t="shared" si="99"/>
        <v>#VALUE!</v>
      </c>
      <c r="T92" s="19" t="str">
        <f t="shared" si="99"/>
        <v>#VALUE!</v>
      </c>
      <c r="U92" s="19" t="str">
        <f t="shared" si="99"/>
        <v>#VALUE!</v>
      </c>
      <c r="V92" s="19" t="str">
        <f t="shared" si="99"/>
        <v>#VALUE!</v>
      </c>
      <c r="W92" s="19" t="str">
        <f t="shared" si="99"/>
        <v>#VALUE!</v>
      </c>
      <c r="X92" s="19" t="str">
        <f t="shared" si="69"/>
        <v>#VALUE!</v>
      </c>
    </row>
    <row r="93">
      <c r="A93" s="13">
        <v>1.0</v>
      </c>
      <c r="B93" s="132">
        <v>63.02</v>
      </c>
      <c r="C93" s="133">
        <v>1.0</v>
      </c>
      <c r="D93" s="133" t="s">
        <v>259</v>
      </c>
      <c r="E93" s="134" t="s">
        <v>25</v>
      </c>
      <c r="F93" s="133">
        <v>0.0</v>
      </c>
      <c r="G93" s="135">
        <v>2013.0</v>
      </c>
      <c r="H93" s="33" t="s">
        <v>395</v>
      </c>
      <c r="I93" s="33" t="s">
        <v>396</v>
      </c>
      <c r="J93" s="33" t="s">
        <v>232</v>
      </c>
      <c r="K93" s="33" t="s">
        <v>397</v>
      </c>
      <c r="L93" s="33" t="s">
        <v>398</v>
      </c>
      <c r="M93" s="33" t="s">
        <v>399</v>
      </c>
      <c r="N93" s="33" t="s">
        <v>400</v>
      </c>
      <c r="O93" s="33" t="s">
        <v>401</v>
      </c>
      <c r="P93" s="33" t="s">
        <v>402</v>
      </c>
      <c r="Q93" s="19" t="str">
        <f t="shared" ref="Q93:W93" si="100">I93-H93</f>
        <v>#VALUE!</v>
      </c>
      <c r="R93" s="20" t="str">
        <f t="shared" si="100"/>
        <v>#VALUE!</v>
      </c>
      <c r="S93" s="19" t="str">
        <f t="shared" si="100"/>
        <v>#VALUE!</v>
      </c>
      <c r="T93" s="19" t="str">
        <f t="shared" si="100"/>
        <v>#VALUE!</v>
      </c>
      <c r="U93" s="19" t="str">
        <f t="shared" si="100"/>
        <v>#VALUE!</v>
      </c>
      <c r="V93" s="19" t="str">
        <f t="shared" si="100"/>
        <v>#VALUE!</v>
      </c>
      <c r="W93" s="19" t="str">
        <f t="shared" si="100"/>
        <v>#VALUE!</v>
      </c>
      <c r="X93" s="19" t="str">
        <f t="shared" si="69"/>
        <v>#VALUE!</v>
      </c>
    </row>
    <row r="94">
      <c r="A94" s="13">
        <v>1.0</v>
      </c>
      <c r="B94" s="132">
        <v>63.02</v>
      </c>
      <c r="C94" s="133">
        <v>1.0</v>
      </c>
      <c r="D94" s="133" t="s">
        <v>259</v>
      </c>
      <c r="E94" s="134" t="s">
        <v>25</v>
      </c>
      <c r="F94" s="133">
        <v>0.0</v>
      </c>
      <c r="G94" s="135">
        <v>2014.0</v>
      </c>
      <c r="H94" s="33" t="s">
        <v>403</v>
      </c>
      <c r="I94" s="33" t="s">
        <v>404</v>
      </c>
      <c r="J94" s="33" t="s">
        <v>405</v>
      </c>
      <c r="K94" s="33" t="s">
        <v>406</v>
      </c>
      <c r="L94" s="33" t="s">
        <v>407</v>
      </c>
      <c r="M94" s="33" t="s">
        <v>408</v>
      </c>
      <c r="N94" s="33" t="s">
        <v>409</v>
      </c>
      <c r="O94" s="33" t="s">
        <v>410</v>
      </c>
      <c r="P94" s="33" t="s">
        <v>411</v>
      </c>
      <c r="Q94" s="19" t="str">
        <f t="shared" ref="Q94:W94" si="101">I94-H94</f>
        <v>#VALUE!</v>
      </c>
      <c r="R94" s="19" t="str">
        <f t="shared" si="101"/>
        <v>#VALUE!</v>
      </c>
      <c r="S94" s="19" t="str">
        <f t="shared" si="101"/>
        <v>#VALUE!</v>
      </c>
      <c r="T94" s="19" t="str">
        <f t="shared" si="101"/>
        <v>#VALUE!</v>
      </c>
      <c r="U94" s="19" t="str">
        <f t="shared" si="101"/>
        <v>#VALUE!</v>
      </c>
      <c r="V94" s="19" t="str">
        <f t="shared" si="101"/>
        <v>#VALUE!</v>
      </c>
      <c r="W94" s="19" t="str">
        <f t="shared" si="101"/>
        <v>#VALUE!</v>
      </c>
      <c r="X94" s="19" t="str">
        <f t="shared" si="69"/>
        <v>#VALUE!</v>
      </c>
    </row>
    <row r="95">
      <c r="A95" s="13">
        <v>1.0</v>
      </c>
      <c r="B95" s="132">
        <v>63.03</v>
      </c>
      <c r="C95" s="133">
        <v>1.0</v>
      </c>
      <c r="D95" s="133" t="s">
        <v>259</v>
      </c>
      <c r="E95" s="134" t="s">
        <v>25</v>
      </c>
      <c r="F95" s="133">
        <v>0.0</v>
      </c>
      <c r="G95" s="135">
        <v>2014.0</v>
      </c>
      <c r="H95" s="33" t="s">
        <v>412</v>
      </c>
      <c r="I95" s="33" t="s">
        <v>48</v>
      </c>
      <c r="J95" s="33" t="s">
        <v>103</v>
      </c>
      <c r="K95" s="33" t="s">
        <v>413</v>
      </c>
      <c r="L95" s="33" t="s">
        <v>414</v>
      </c>
      <c r="M95" s="33" t="s">
        <v>415</v>
      </c>
      <c r="N95" s="33" t="s">
        <v>416</v>
      </c>
      <c r="O95" s="33" t="s">
        <v>417</v>
      </c>
      <c r="P95" s="33" t="s">
        <v>418</v>
      </c>
      <c r="Q95" s="20" t="str">
        <f t="shared" ref="Q95:W95" si="102">I95-H95</f>
        <v>#VALUE!</v>
      </c>
      <c r="R95" s="19" t="str">
        <f t="shared" si="102"/>
        <v>#VALUE!</v>
      </c>
      <c r="S95" s="19" t="str">
        <f t="shared" si="102"/>
        <v>#VALUE!</v>
      </c>
      <c r="T95" s="19" t="str">
        <f t="shared" si="102"/>
        <v>#VALUE!</v>
      </c>
      <c r="U95" s="19" t="str">
        <f t="shared" si="102"/>
        <v>#VALUE!</v>
      </c>
      <c r="V95" s="19" t="str">
        <f t="shared" si="102"/>
        <v>#VALUE!</v>
      </c>
      <c r="W95" s="19" t="str">
        <f t="shared" si="102"/>
        <v>#VALUE!</v>
      </c>
      <c r="X95" s="19" t="str">
        <f t="shared" si="69"/>
        <v>#VALUE!</v>
      </c>
    </row>
    <row r="96">
      <c r="A96" s="13">
        <v>1.0</v>
      </c>
      <c r="B96" s="132">
        <v>63.04</v>
      </c>
      <c r="C96" s="133">
        <v>1.0</v>
      </c>
      <c r="D96" s="133" t="s">
        <v>24</v>
      </c>
      <c r="E96" s="133"/>
      <c r="F96" s="133">
        <v>0.0</v>
      </c>
      <c r="G96" s="135">
        <v>2014.0</v>
      </c>
      <c r="H96" s="33" t="s">
        <v>28</v>
      </c>
      <c r="I96" s="33" t="s">
        <v>419</v>
      </c>
      <c r="J96" s="33" t="s">
        <v>420</v>
      </c>
      <c r="K96" s="33" t="s">
        <v>421</v>
      </c>
      <c r="L96" s="33" t="s">
        <v>408</v>
      </c>
      <c r="M96" s="33" t="s">
        <v>422</v>
      </c>
      <c r="N96" s="33" t="s">
        <v>423</v>
      </c>
      <c r="O96" s="33" t="s">
        <v>281</v>
      </c>
      <c r="P96" s="33" t="s">
        <v>424</v>
      </c>
      <c r="Q96" s="19" t="str">
        <f t="shared" ref="Q96:W96" si="103">I96-H96</f>
        <v>#VALUE!</v>
      </c>
      <c r="R96" s="19" t="str">
        <f t="shared" si="103"/>
        <v>#VALUE!</v>
      </c>
      <c r="S96" s="19" t="str">
        <f t="shared" si="103"/>
        <v>#VALUE!</v>
      </c>
      <c r="T96" s="19" t="str">
        <f t="shared" si="103"/>
        <v>#VALUE!</v>
      </c>
      <c r="U96" s="19" t="str">
        <f t="shared" si="103"/>
        <v>#VALUE!</v>
      </c>
      <c r="V96" s="19" t="str">
        <f t="shared" si="103"/>
        <v>#VALUE!</v>
      </c>
      <c r="W96" s="19" t="str">
        <f t="shared" si="103"/>
        <v>#VALUE!</v>
      </c>
      <c r="X96" s="19" t="str">
        <f t="shared" si="69"/>
        <v>#VALUE!</v>
      </c>
    </row>
    <row r="97">
      <c r="A97" s="13">
        <v>1.0</v>
      </c>
      <c r="B97" s="132">
        <v>63.05</v>
      </c>
      <c r="C97" s="133">
        <v>1.0</v>
      </c>
      <c r="D97" s="133" t="s">
        <v>24</v>
      </c>
      <c r="E97" s="134" t="s">
        <v>25</v>
      </c>
      <c r="F97" s="133">
        <v>0.0</v>
      </c>
      <c r="G97" s="135">
        <v>2014.0</v>
      </c>
      <c r="H97" s="33" t="s">
        <v>425</v>
      </c>
      <c r="I97" s="33" t="s">
        <v>426</v>
      </c>
      <c r="J97" s="33" t="s">
        <v>427</v>
      </c>
      <c r="K97" s="33" t="s">
        <v>428</v>
      </c>
      <c r="L97" s="33" t="s">
        <v>429</v>
      </c>
      <c r="M97" s="33" t="s">
        <v>430</v>
      </c>
      <c r="N97" s="33" t="s">
        <v>431</v>
      </c>
      <c r="O97" s="33" t="s">
        <v>386</v>
      </c>
      <c r="P97" s="33" t="s">
        <v>432</v>
      </c>
      <c r="Q97" s="19" t="str">
        <f t="shared" ref="Q97:W97" si="104">I97-H97</f>
        <v>#VALUE!</v>
      </c>
      <c r="R97" s="19" t="str">
        <f t="shared" si="104"/>
        <v>#VALUE!</v>
      </c>
      <c r="S97" s="19" t="str">
        <f t="shared" si="104"/>
        <v>#VALUE!</v>
      </c>
      <c r="T97" s="19" t="str">
        <f t="shared" si="104"/>
        <v>#VALUE!</v>
      </c>
      <c r="U97" s="19" t="str">
        <f t="shared" si="104"/>
        <v>#VALUE!</v>
      </c>
      <c r="V97" s="19" t="str">
        <f t="shared" si="104"/>
        <v>#VALUE!</v>
      </c>
      <c r="W97" s="19" t="str">
        <f t="shared" si="104"/>
        <v>#VALUE!</v>
      </c>
      <c r="X97" s="19" t="str">
        <f t="shared" si="69"/>
        <v>#VALUE!</v>
      </c>
    </row>
    <row r="98">
      <c r="A98" s="13">
        <v>1.0</v>
      </c>
      <c r="B98" s="116">
        <v>63.08</v>
      </c>
      <c r="C98" s="30">
        <v>2.0</v>
      </c>
      <c r="D98" s="30" t="s">
        <v>259</v>
      </c>
      <c r="E98" s="30"/>
      <c r="F98" s="30">
        <v>0.0</v>
      </c>
      <c r="G98" s="32">
        <v>2013.0</v>
      </c>
      <c r="H98" s="18" t="s">
        <v>433</v>
      </c>
      <c r="I98" s="18" t="s">
        <v>80</v>
      </c>
      <c r="J98" s="18" t="s">
        <v>342</v>
      </c>
      <c r="K98" s="18" t="s">
        <v>181</v>
      </c>
      <c r="L98" s="18" t="s">
        <v>434</v>
      </c>
      <c r="M98" s="18" t="s">
        <v>119</v>
      </c>
      <c r="N98" s="18" t="s">
        <v>435</v>
      </c>
      <c r="O98" s="18" t="s">
        <v>436</v>
      </c>
      <c r="P98" s="136" t="s">
        <v>437</v>
      </c>
      <c r="Q98" s="19" t="str">
        <f t="shared" ref="Q98:W98" si="105">I98-H98</f>
        <v>#VALUE!</v>
      </c>
      <c r="R98" s="19" t="str">
        <f t="shared" si="105"/>
        <v>#VALUE!</v>
      </c>
      <c r="S98" s="19" t="str">
        <f t="shared" si="105"/>
        <v>#VALUE!</v>
      </c>
      <c r="T98" s="19" t="str">
        <f t="shared" si="105"/>
        <v>#VALUE!</v>
      </c>
      <c r="U98" s="19" t="str">
        <f t="shared" si="105"/>
        <v>#VALUE!</v>
      </c>
      <c r="V98" s="19" t="str">
        <f t="shared" si="105"/>
        <v>#VALUE!</v>
      </c>
      <c r="W98" s="19" t="str">
        <f t="shared" si="105"/>
        <v>#VALUE!</v>
      </c>
      <c r="X98" s="19" t="str">
        <f t="shared" si="69"/>
        <v>#VALUE!</v>
      </c>
    </row>
    <row r="99">
      <c r="A99" s="13">
        <v>1.0</v>
      </c>
      <c r="B99" s="132">
        <v>63.08</v>
      </c>
      <c r="C99" s="133">
        <v>1.0</v>
      </c>
      <c r="D99" s="133" t="s">
        <v>24</v>
      </c>
      <c r="E99" s="133"/>
      <c r="F99" s="133">
        <v>0.0</v>
      </c>
      <c r="G99" s="135">
        <v>2014.0</v>
      </c>
      <c r="H99" s="33" t="s">
        <v>438</v>
      </c>
      <c r="I99" s="33" t="s">
        <v>105</v>
      </c>
      <c r="J99" s="33" t="s">
        <v>292</v>
      </c>
      <c r="K99" s="33" t="s">
        <v>439</v>
      </c>
      <c r="L99" s="33" t="s">
        <v>440</v>
      </c>
      <c r="M99" s="33" t="s">
        <v>409</v>
      </c>
      <c r="N99" s="33" t="s">
        <v>422</v>
      </c>
      <c r="O99" s="33" t="s">
        <v>441</v>
      </c>
      <c r="P99" s="33" t="s">
        <v>442</v>
      </c>
      <c r="Q99" s="19" t="str">
        <f t="shared" ref="Q99:W99" si="106">I99-H99</f>
        <v>#VALUE!</v>
      </c>
      <c r="R99" s="20" t="str">
        <f t="shared" si="106"/>
        <v>#VALUE!</v>
      </c>
      <c r="S99" s="19" t="str">
        <f t="shared" si="106"/>
        <v>#VALUE!</v>
      </c>
      <c r="T99" s="19" t="str">
        <f t="shared" si="106"/>
        <v>#VALUE!</v>
      </c>
      <c r="U99" s="19" t="str">
        <f t="shared" si="106"/>
        <v>#VALUE!</v>
      </c>
      <c r="V99" s="19" t="str">
        <f t="shared" si="106"/>
        <v>#VALUE!</v>
      </c>
      <c r="W99" s="19" t="str">
        <f t="shared" si="106"/>
        <v>#VALUE!</v>
      </c>
      <c r="X99" s="19" t="str">
        <f t="shared" si="69"/>
        <v>#VALUE!</v>
      </c>
    </row>
    <row r="100">
      <c r="A100" s="13">
        <v>1.0</v>
      </c>
      <c r="B100" s="137">
        <v>63.09</v>
      </c>
      <c r="C100" s="138">
        <v>1.0</v>
      </c>
      <c r="D100" s="138" t="s">
        <v>24</v>
      </c>
      <c r="E100" s="138"/>
      <c r="F100" s="138">
        <v>1.0</v>
      </c>
      <c r="G100" s="139">
        <v>2014.0</v>
      </c>
      <c r="H100" s="140" t="s">
        <v>443</v>
      </c>
      <c r="I100" s="140" t="s">
        <v>444</v>
      </c>
      <c r="J100" s="140" t="s">
        <v>445</v>
      </c>
      <c r="K100" s="140" t="s">
        <v>446</v>
      </c>
      <c r="L100" s="140" t="s">
        <v>406</v>
      </c>
      <c r="M100" s="140" t="s">
        <v>447</v>
      </c>
      <c r="N100" s="140" t="s">
        <v>448</v>
      </c>
      <c r="O100" s="140" t="s">
        <v>152</v>
      </c>
      <c r="P100" s="140" t="s">
        <v>316</v>
      </c>
      <c r="Q100" s="19" t="str">
        <f t="shared" ref="Q100:W100" si="107">I100-H100</f>
        <v>#VALUE!</v>
      </c>
      <c r="R100" s="20" t="str">
        <f t="shared" si="107"/>
        <v>#VALUE!</v>
      </c>
      <c r="S100" s="19" t="str">
        <f t="shared" si="107"/>
        <v>#VALUE!</v>
      </c>
      <c r="T100" s="19" t="str">
        <f t="shared" si="107"/>
        <v>#VALUE!</v>
      </c>
      <c r="U100" s="19" t="str">
        <f t="shared" si="107"/>
        <v>#VALUE!</v>
      </c>
      <c r="V100" s="19" t="str">
        <f t="shared" si="107"/>
        <v>#VALUE!</v>
      </c>
      <c r="W100" s="19" t="str">
        <f t="shared" si="107"/>
        <v>#VALUE!</v>
      </c>
      <c r="X100" s="19" t="str">
        <f t="shared" si="69"/>
        <v>#VALUE!</v>
      </c>
    </row>
    <row r="101">
      <c r="A101" s="21">
        <v>1.0</v>
      </c>
      <c r="B101" s="125">
        <v>63.11</v>
      </c>
      <c r="C101" s="126">
        <v>2.0</v>
      </c>
      <c r="D101" s="126" t="s">
        <v>24</v>
      </c>
      <c r="E101" s="126"/>
      <c r="F101" s="126">
        <v>1.0</v>
      </c>
      <c r="G101" s="127">
        <v>2013.0</v>
      </c>
      <c r="H101" s="128" t="s">
        <v>449</v>
      </c>
      <c r="I101" s="128" t="s">
        <v>450</v>
      </c>
      <c r="J101" s="128" t="s">
        <v>451</v>
      </c>
      <c r="K101" s="128" t="s">
        <v>182</v>
      </c>
      <c r="L101" s="128" t="s">
        <v>452</v>
      </c>
      <c r="M101" s="114" t="s">
        <v>85</v>
      </c>
      <c r="N101" s="114" t="s">
        <v>125</v>
      </c>
      <c r="O101" s="128" t="s">
        <v>107</v>
      </c>
      <c r="P101" s="65" t="s">
        <v>105</v>
      </c>
      <c r="Q101" s="27" t="str">
        <f t="shared" ref="Q101:W101" si="108">I101-H101</f>
        <v>#VALUE!</v>
      </c>
      <c r="R101" s="27" t="str">
        <f t="shared" si="108"/>
        <v>#VALUE!</v>
      </c>
      <c r="S101" s="27" t="str">
        <f t="shared" si="108"/>
        <v>#VALUE!</v>
      </c>
      <c r="T101" s="27" t="str">
        <f t="shared" si="108"/>
        <v>#VALUE!</v>
      </c>
      <c r="U101" s="27" t="str">
        <f t="shared" si="108"/>
        <v>#VALUE!</v>
      </c>
      <c r="V101" s="27" t="str">
        <f t="shared" si="108"/>
        <v>#VALUE!</v>
      </c>
      <c r="W101" s="27" t="str">
        <f t="shared" si="108"/>
        <v>#VALUE!</v>
      </c>
      <c r="X101" s="27" t="str">
        <f t="shared" si="69"/>
        <v>#VALUE!</v>
      </c>
    </row>
    <row r="102">
      <c r="A102" s="13">
        <v>1.0</v>
      </c>
      <c r="B102" s="132">
        <v>63.11</v>
      </c>
      <c r="C102" s="133">
        <v>1.0</v>
      </c>
      <c r="D102" s="133" t="s">
        <v>24</v>
      </c>
      <c r="E102" s="134" t="s">
        <v>37</v>
      </c>
      <c r="F102" s="133">
        <v>1.0</v>
      </c>
      <c r="G102" s="135">
        <v>2014.0</v>
      </c>
      <c r="H102" s="33" t="s">
        <v>453</v>
      </c>
      <c r="I102" s="33" t="s">
        <v>87</v>
      </c>
      <c r="J102" s="33" t="s">
        <v>27</v>
      </c>
      <c r="K102" s="33" t="s">
        <v>381</v>
      </c>
      <c r="L102" s="33" t="s">
        <v>454</v>
      </c>
      <c r="M102" s="73" t="s">
        <v>455</v>
      </c>
      <c r="N102" s="73" t="s">
        <v>456</v>
      </c>
      <c r="O102" s="33" t="s">
        <v>457</v>
      </c>
      <c r="P102" s="33" t="s">
        <v>458</v>
      </c>
      <c r="Q102" s="19" t="str">
        <f t="shared" ref="Q102:W102" si="109">I102-H102</f>
        <v>#VALUE!</v>
      </c>
      <c r="R102" s="19" t="str">
        <f t="shared" si="109"/>
        <v>#VALUE!</v>
      </c>
      <c r="S102" s="19" t="str">
        <f t="shared" si="109"/>
        <v>#VALUE!</v>
      </c>
      <c r="T102" s="19" t="str">
        <f t="shared" si="109"/>
        <v>#VALUE!</v>
      </c>
      <c r="U102" s="19" t="str">
        <f t="shared" si="109"/>
        <v>#VALUE!</v>
      </c>
      <c r="V102" s="19" t="str">
        <f t="shared" si="109"/>
        <v>#VALUE!</v>
      </c>
      <c r="W102" s="19" t="str">
        <f t="shared" si="109"/>
        <v>#VALUE!</v>
      </c>
      <c r="X102" s="19" t="str">
        <f t="shared" si="69"/>
        <v>#VALUE!</v>
      </c>
    </row>
    <row r="103">
      <c r="A103" s="21">
        <v>1.0</v>
      </c>
      <c r="B103" s="125">
        <v>63.13</v>
      </c>
      <c r="C103" s="126">
        <v>2.0</v>
      </c>
      <c r="D103" s="126" t="s">
        <v>24</v>
      </c>
      <c r="E103" s="126" t="s">
        <v>37</v>
      </c>
      <c r="F103" s="126">
        <v>1.0</v>
      </c>
      <c r="G103" s="127">
        <v>2013.0</v>
      </c>
      <c r="H103" s="128" t="s">
        <v>304</v>
      </c>
      <c r="I103" s="71" t="s">
        <v>459</v>
      </c>
      <c r="J103" s="128" t="s">
        <v>460</v>
      </c>
      <c r="K103" s="128" t="s">
        <v>461</v>
      </c>
      <c r="L103" s="128" t="s">
        <v>462</v>
      </c>
      <c r="M103" s="71" t="s">
        <v>85</v>
      </c>
      <c r="N103" s="71" t="s">
        <v>463</v>
      </c>
      <c r="O103" s="128" t="s">
        <v>464</v>
      </c>
      <c r="P103" s="128" t="s">
        <v>465</v>
      </c>
      <c r="Q103" s="27" t="str">
        <f t="shared" ref="Q103:W103" si="110">I103-H103</f>
        <v>#VALUE!</v>
      </c>
      <c r="R103" s="27" t="str">
        <f t="shared" si="110"/>
        <v>#VALUE!</v>
      </c>
      <c r="S103" s="27" t="str">
        <f t="shared" si="110"/>
        <v>#VALUE!</v>
      </c>
      <c r="T103" s="27" t="str">
        <f t="shared" si="110"/>
        <v>#VALUE!</v>
      </c>
      <c r="U103" s="27" t="str">
        <f t="shared" si="110"/>
        <v>#VALUE!</v>
      </c>
      <c r="V103" s="27" t="str">
        <f t="shared" si="110"/>
        <v>#VALUE!</v>
      </c>
      <c r="W103" s="27" t="str">
        <f t="shared" si="110"/>
        <v>#VALUE!</v>
      </c>
      <c r="X103" s="27" t="str">
        <f t="shared" si="69"/>
        <v>#VALUE!</v>
      </c>
    </row>
    <row r="104">
      <c r="A104" s="13">
        <v>1.0</v>
      </c>
      <c r="B104" s="132">
        <v>63.13</v>
      </c>
      <c r="C104" s="133">
        <v>1.0</v>
      </c>
      <c r="D104" s="133" t="s">
        <v>24</v>
      </c>
      <c r="E104" s="133"/>
      <c r="F104" s="133">
        <v>1.0</v>
      </c>
      <c r="G104" s="135">
        <v>2014.0</v>
      </c>
      <c r="H104" s="33" t="s">
        <v>466</v>
      </c>
      <c r="I104" s="33" t="s">
        <v>103</v>
      </c>
      <c r="J104" s="33" t="s">
        <v>292</v>
      </c>
      <c r="K104" s="33" t="s">
        <v>467</v>
      </c>
      <c r="L104" s="33" t="s">
        <v>468</v>
      </c>
      <c r="M104" s="33" t="s">
        <v>469</v>
      </c>
      <c r="N104" s="33" t="s">
        <v>470</v>
      </c>
      <c r="O104" s="33" t="s">
        <v>471</v>
      </c>
      <c r="P104" s="33" t="s">
        <v>458</v>
      </c>
      <c r="Q104" s="19" t="str">
        <f t="shared" ref="Q104:W104" si="111">I104-H104</f>
        <v>#VALUE!</v>
      </c>
      <c r="R104" s="19" t="str">
        <f t="shared" si="111"/>
        <v>#VALUE!</v>
      </c>
      <c r="S104" s="19" t="str">
        <f t="shared" si="111"/>
        <v>#VALUE!</v>
      </c>
      <c r="T104" s="19" t="str">
        <f t="shared" si="111"/>
        <v>#VALUE!</v>
      </c>
      <c r="U104" s="19" t="str">
        <f t="shared" si="111"/>
        <v>#VALUE!</v>
      </c>
      <c r="V104" s="19" t="str">
        <f t="shared" si="111"/>
        <v>#VALUE!</v>
      </c>
      <c r="W104" s="19" t="str">
        <f t="shared" si="111"/>
        <v>#VALUE!</v>
      </c>
      <c r="X104" s="19" t="str">
        <f t="shared" si="69"/>
        <v>#VALUE!</v>
      </c>
    </row>
    <row r="105">
      <c r="A105" s="13">
        <v>1.0</v>
      </c>
      <c r="B105" s="132">
        <v>63.14</v>
      </c>
      <c r="C105" s="133">
        <v>2.0</v>
      </c>
      <c r="D105" s="133" t="s">
        <v>24</v>
      </c>
      <c r="E105" s="133"/>
      <c r="F105" s="133">
        <v>0.0</v>
      </c>
      <c r="G105" s="135">
        <v>2013.0</v>
      </c>
      <c r="H105" s="33" t="s">
        <v>472</v>
      </c>
      <c r="I105" s="33" t="s">
        <v>473</v>
      </c>
      <c r="J105" s="33" t="s">
        <v>474</v>
      </c>
      <c r="K105" s="111" t="s">
        <v>475</v>
      </c>
      <c r="L105" s="33" t="s">
        <v>392</v>
      </c>
      <c r="M105" s="111" t="s">
        <v>475</v>
      </c>
      <c r="N105" s="111" t="s">
        <v>475</v>
      </c>
      <c r="O105" s="33" t="s">
        <v>120</v>
      </c>
      <c r="P105" s="33" t="s">
        <v>476</v>
      </c>
      <c r="Q105" s="19" t="str">
        <f t="shared" ref="Q105:W105" si="112">I105-H105</f>
        <v>#VALUE!</v>
      </c>
      <c r="R105" s="19" t="str">
        <f t="shared" si="112"/>
        <v>#VALUE!</v>
      </c>
      <c r="S105" s="19" t="str">
        <f t="shared" si="112"/>
        <v>#VALUE!</v>
      </c>
      <c r="T105" s="19" t="str">
        <f t="shared" si="112"/>
        <v>#VALUE!</v>
      </c>
      <c r="U105" s="19" t="str">
        <f t="shared" si="112"/>
        <v>#VALUE!</v>
      </c>
      <c r="V105" s="19" t="str">
        <f t="shared" si="112"/>
        <v>#VALUE!</v>
      </c>
      <c r="W105" s="19" t="str">
        <f t="shared" si="112"/>
        <v>#VALUE!</v>
      </c>
      <c r="X105" s="19" t="str">
        <f t="shared" si="69"/>
        <v>#VALUE!</v>
      </c>
    </row>
    <row r="106">
      <c r="A106" s="13">
        <v>1.0</v>
      </c>
      <c r="B106" s="29">
        <v>63.15</v>
      </c>
      <c r="C106" s="30">
        <v>2.0</v>
      </c>
      <c r="D106" s="30" t="s">
        <v>24</v>
      </c>
      <c r="E106" s="30"/>
      <c r="F106" s="30">
        <v>1.0</v>
      </c>
      <c r="G106" s="32">
        <v>2013.0</v>
      </c>
      <c r="H106" s="18" t="s">
        <v>477</v>
      </c>
      <c r="I106" s="18" t="s">
        <v>349</v>
      </c>
      <c r="J106" s="18" t="s">
        <v>58</v>
      </c>
      <c r="K106" s="18" t="s">
        <v>166</v>
      </c>
      <c r="L106" s="18" t="s">
        <v>131</v>
      </c>
      <c r="M106" s="18" t="s">
        <v>119</v>
      </c>
      <c r="N106" s="18" t="s">
        <v>168</v>
      </c>
      <c r="O106" s="18" t="s">
        <v>353</v>
      </c>
      <c r="P106" s="18" t="s">
        <v>478</v>
      </c>
      <c r="Q106" s="19" t="str">
        <f t="shared" ref="Q106:W106" si="113">I106-H106</f>
        <v>#VALUE!</v>
      </c>
      <c r="R106" s="19" t="str">
        <f t="shared" si="113"/>
        <v>#VALUE!</v>
      </c>
      <c r="S106" s="19" t="str">
        <f t="shared" si="113"/>
        <v>#VALUE!</v>
      </c>
      <c r="T106" s="19" t="str">
        <f t="shared" si="113"/>
        <v>#VALUE!</v>
      </c>
      <c r="U106" s="19" t="str">
        <f t="shared" si="113"/>
        <v>#VALUE!</v>
      </c>
      <c r="V106" s="19" t="str">
        <f t="shared" si="113"/>
        <v>#VALUE!</v>
      </c>
      <c r="W106" s="19" t="str">
        <f t="shared" si="113"/>
        <v>#VALUE!</v>
      </c>
      <c r="X106" s="19" t="str">
        <f t="shared" si="69"/>
        <v>#VALUE!</v>
      </c>
    </row>
    <row r="107">
      <c r="A107" s="13">
        <v>1.0</v>
      </c>
      <c r="B107" s="29">
        <v>63.16</v>
      </c>
      <c r="C107" s="30">
        <v>1.0</v>
      </c>
      <c r="D107" s="30" t="s">
        <v>24</v>
      </c>
      <c r="E107" s="30"/>
      <c r="F107" s="30">
        <v>1.0</v>
      </c>
      <c r="G107" s="32">
        <v>2014.0</v>
      </c>
      <c r="H107" s="18" t="s">
        <v>479</v>
      </c>
      <c r="I107" s="18" t="s">
        <v>480</v>
      </c>
      <c r="J107" s="18" t="s">
        <v>481</v>
      </c>
      <c r="K107" s="18" t="s">
        <v>482</v>
      </c>
      <c r="L107" s="18" t="s">
        <v>483</v>
      </c>
      <c r="M107" s="18" t="s">
        <v>484</v>
      </c>
      <c r="N107" s="18" t="s">
        <v>485</v>
      </c>
      <c r="O107" s="18" t="s">
        <v>486</v>
      </c>
      <c r="P107" s="18" t="s">
        <v>114</v>
      </c>
      <c r="Q107" s="19" t="str">
        <f t="shared" ref="Q107:W107" si="114">I107-H107</f>
        <v>#VALUE!</v>
      </c>
      <c r="R107" s="19" t="str">
        <f t="shared" si="114"/>
        <v>#VALUE!</v>
      </c>
      <c r="S107" s="19" t="str">
        <f t="shared" si="114"/>
        <v>#VALUE!</v>
      </c>
      <c r="T107" s="19" t="str">
        <f t="shared" si="114"/>
        <v>#VALUE!</v>
      </c>
      <c r="U107" s="19" t="str">
        <f t="shared" si="114"/>
        <v>#VALUE!</v>
      </c>
      <c r="V107" s="19" t="str">
        <f t="shared" si="114"/>
        <v>#VALUE!</v>
      </c>
      <c r="W107" s="19" t="str">
        <f t="shared" si="114"/>
        <v>#VALUE!</v>
      </c>
      <c r="X107" s="19" t="str">
        <f t="shared" si="69"/>
        <v>#VALUE!</v>
      </c>
    </row>
    <row r="108">
      <c r="A108" s="13">
        <v>1.0</v>
      </c>
      <c r="B108" s="29">
        <v>63.18</v>
      </c>
      <c r="C108" s="30">
        <v>1.0</v>
      </c>
      <c r="D108" s="30" t="s">
        <v>24</v>
      </c>
      <c r="E108" s="30"/>
      <c r="F108" s="30">
        <v>1.0</v>
      </c>
      <c r="G108" s="32">
        <v>2013.0</v>
      </c>
      <c r="H108" s="18" t="s">
        <v>487</v>
      </c>
      <c r="I108" s="18" t="s">
        <v>488</v>
      </c>
      <c r="J108" s="18" t="s">
        <v>181</v>
      </c>
      <c r="K108" s="18" t="s">
        <v>130</v>
      </c>
      <c r="L108" s="18" t="s">
        <v>59</v>
      </c>
      <c r="M108" s="18" t="s">
        <v>489</v>
      </c>
      <c r="N108" s="18" t="s">
        <v>175</v>
      </c>
      <c r="O108" s="18" t="s">
        <v>490</v>
      </c>
      <c r="P108" s="18" t="s">
        <v>491</v>
      </c>
      <c r="Q108" s="19" t="str">
        <f t="shared" ref="Q108:W108" si="115">I108-H108</f>
        <v>#VALUE!</v>
      </c>
      <c r="R108" s="19" t="str">
        <f t="shared" si="115"/>
        <v>#VALUE!</v>
      </c>
      <c r="S108" s="19" t="str">
        <f t="shared" si="115"/>
        <v>#VALUE!</v>
      </c>
      <c r="T108" s="19" t="str">
        <f t="shared" si="115"/>
        <v>#VALUE!</v>
      </c>
      <c r="U108" s="19" t="str">
        <f t="shared" si="115"/>
        <v>#VALUE!</v>
      </c>
      <c r="V108" s="19" t="str">
        <f t="shared" si="115"/>
        <v>#VALUE!</v>
      </c>
      <c r="W108" s="19" t="str">
        <f t="shared" si="115"/>
        <v>#VALUE!</v>
      </c>
      <c r="X108" s="19" t="str">
        <f t="shared" si="69"/>
        <v>#VALUE!</v>
      </c>
    </row>
    <row r="109">
      <c r="A109" s="13">
        <v>1.0</v>
      </c>
      <c r="B109" s="29">
        <v>63.18</v>
      </c>
      <c r="C109" s="30">
        <v>1.0</v>
      </c>
      <c r="D109" s="30" t="s">
        <v>24</v>
      </c>
      <c r="E109" s="30"/>
      <c r="F109" s="30">
        <v>1.0</v>
      </c>
      <c r="G109" s="32">
        <v>2014.0</v>
      </c>
      <c r="H109" s="18" t="s">
        <v>492</v>
      </c>
      <c r="I109" s="18" t="s">
        <v>107</v>
      </c>
      <c r="J109" s="18" t="s">
        <v>50</v>
      </c>
      <c r="K109" s="18" t="s">
        <v>493</v>
      </c>
      <c r="L109" s="18" t="s">
        <v>494</v>
      </c>
      <c r="M109" s="18" t="s">
        <v>495</v>
      </c>
      <c r="N109" s="18" t="s">
        <v>496</v>
      </c>
      <c r="O109" s="18" t="s">
        <v>497</v>
      </c>
      <c r="P109" s="18" t="s">
        <v>114</v>
      </c>
      <c r="Q109" s="19" t="str">
        <f t="shared" ref="Q109:W109" si="116">I109-H109</f>
        <v>#VALUE!</v>
      </c>
      <c r="R109" s="19" t="str">
        <f t="shared" si="116"/>
        <v>#VALUE!</v>
      </c>
      <c r="S109" s="19" t="str">
        <f t="shared" si="116"/>
        <v>#VALUE!</v>
      </c>
      <c r="T109" s="19" t="str">
        <f t="shared" si="116"/>
        <v>#VALUE!</v>
      </c>
      <c r="U109" s="19" t="str">
        <f t="shared" si="116"/>
        <v>#VALUE!</v>
      </c>
      <c r="V109" s="19" t="str">
        <f t="shared" si="116"/>
        <v>#VALUE!</v>
      </c>
      <c r="W109" s="19" t="str">
        <f t="shared" si="116"/>
        <v>#VALUE!</v>
      </c>
      <c r="X109" s="19" t="str">
        <f t="shared" si="69"/>
        <v>#VALUE!</v>
      </c>
    </row>
    <row r="110">
      <c r="A110" s="13">
        <v>1.0</v>
      </c>
      <c r="B110" s="132">
        <v>63.19</v>
      </c>
      <c r="C110" s="133">
        <v>1.0</v>
      </c>
      <c r="D110" s="133" t="s">
        <v>259</v>
      </c>
      <c r="E110" s="134" t="s">
        <v>25</v>
      </c>
      <c r="F110" s="133">
        <v>1.0</v>
      </c>
      <c r="G110" s="135">
        <v>2013.0</v>
      </c>
      <c r="H110" s="33" t="s">
        <v>498</v>
      </c>
      <c r="I110" s="33" t="s">
        <v>499</v>
      </c>
      <c r="J110" s="33" t="s">
        <v>364</v>
      </c>
      <c r="K110" s="33" t="s">
        <v>283</v>
      </c>
      <c r="L110" s="33" t="s">
        <v>462</v>
      </c>
      <c r="M110" s="33" t="s">
        <v>500</v>
      </c>
      <c r="N110" s="33" t="s">
        <v>501</v>
      </c>
      <c r="O110" s="33" t="s">
        <v>502</v>
      </c>
      <c r="P110" s="33" t="s">
        <v>118</v>
      </c>
      <c r="Q110" s="19" t="str">
        <f t="shared" ref="Q110:W110" si="117">I110-H110</f>
        <v>#VALUE!</v>
      </c>
      <c r="R110" s="19" t="str">
        <f t="shared" si="117"/>
        <v>#VALUE!</v>
      </c>
      <c r="S110" s="19" t="str">
        <f t="shared" si="117"/>
        <v>#VALUE!</v>
      </c>
      <c r="T110" s="19" t="str">
        <f t="shared" si="117"/>
        <v>#VALUE!</v>
      </c>
      <c r="U110" s="19" t="str">
        <f t="shared" si="117"/>
        <v>#VALUE!</v>
      </c>
      <c r="V110" s="19" t="str">
        <f t="shared" si="117"/>
        <v>#VALUE!</v>
      </c>
      <c r="W110" s="19" t="str">
        <f t="shared" si="117"/>
        <v>#VALUE!</v>
      </c>
      <c r="X110" s="19" t="str">
        <f t="shared" si="69"/>
        <v>#VALUE!</v>
      </c>
    </row>
    <row r="111">
      <c r="A111" s="13">
        <v>1.0</v>
      </c>
      <c r="B111" s="132">
        <v>63.2</v>
      </c>
      <c r="C111" s="133">
        <v>2.0</v>
      </c>
      <c r="D111" s="133" t="s">
        <v>24</v>
      </c>
      <c r="E111" s="134" t="s">
        <v>25</v>
      </c>
      <c r="F111" s="133">
        <v>0.0</v>
      </c>
      <c r="G111" s="135">
        <v>2013.0</v>
      </c>
      <c r="H111" s="33" t="s">
        <v>503</v>
      </c>
      <c r="I111" s="33" t="s">
        <v>504</v>
      </c>
      <c r="J111" s="33" t="s">
        <v>505</v>
      </c>
      <c r="K111" s="141" t="s">
        <v>506</v>
      </c>
      <c r="L111" s="33" t="s">
        <v>507</v>
      </c>
      <c r="M111" s="141" t="s">
        <v>506</v>
      </c>
      <c r="N111" s="33" t="s">
        <v>394</v>
      </c>
      <c r="O111" s="33" t="s">
        <v>508</v>
      </c>
      <c r="P111" s="33" t="s">
        <v>509</v>
      </c>
      <c r="Q111" s="19" t="str">
        <f t="shared" ref="Q111:W111" si="118">I111-H111</f>
        <v>#VALUE!</v>
      </c>
      <c r="R111" s="19" t="str">
        <f t="shared" si="118"/>
        <v>#VALUE!</v>
      </c>
      <c r="S111" s="19" t="str">
        <f t="shared" si="118"/>
        <v>#VALUE!</v>
      </c>
      <c r="T111" s="19" t="str">
        <f t="shared" si="118"/>
        <v>#VALUE!</v>
      </c>
      <c r="U111" s="19" t="str">
        <f t="shared" si="118"/>
        <v>#VALUE!</v>
      </c>
      <c r="V111" s="19" t="str">
        <f t="shared" si="118"/>
        <v>#VALUE!</v>
      </c>
      <c r="W111" s="19" t="str">
        <f t="shared" si="118"/>
        <v>#VALUE!</v>
      </c>
      <c r="X111" s="19" t="str">
        <f t="shared" si="69"/>
        <v>#VALUE!</v>
      </c>
    </row>
    <row r="112">
      <c r="A112" s="13">
        <v>1.0</v>
      </c>
      <c r="B112" s="132">
        <v>63.21</v>
      </c>
      <c r="C112" s="133">
        <v>1.0</v>
      </c>
      <c r="D112" s="133" t="s">
        <v>24</v>
      </c>
      <c r="E112" s="133"/>
      <c r="F112" s="133">
        <v>1.0</v>
      </c>
      <c r="G112" s="135">
        <v>2013.0</v>
      </c>
      <c r="H112" s="33" t="s">
        <v>242</v>
      </c>
      <c r="I112" s="33" t="s">
        <v>300</v>
      </c>
      <c r="J112" s="33" t="s">
        <v>510</v>
      </c>
      <c r="K112" s="33" t="s">
        <v>511</v>
      </c>
      <c r="L112" s="33" t="s">
        <v>507</v>
      </c>
      <c r="M112" s="141" t="s">
        <v>506</v>
      </c>
      <c r="N112" s="33" t="s">
        <v>361</v>
      </c>
      <c r="O112" s="33" t="s">
        <v>512</v>
      </c>
      <c r="P112" s="33" t="s">
        <v>513</v>
      </c>
      <c r="Q112" s="19" t="str">
        <f t="shared" ref="Q112:W112" si="119">I112-H112</f>
        <v>#VALUE!</v>
      </c>
      <c r="R112" s="19" t="str">
        <f t="shared" si="119"/>
        <v>#VALUE!</v>
      </c>
      <c r="S112" s="19" t="str">
        <f t="shared" si="119"/>
        <v>#VALUE!</v>
      </c>
      <c r="T112" s="19" t="str">
        <f t="shared" si="119"/>
        <v>#VALUE!</v>
      </c>
      <c r="U112" s="19" t="str">
        <f t="shared" si="119"/>
        <v>#VALUE!</v>
      </c>
      <c r="V112" s="19" t="str">
        <f t="shared" si="119"/>
        <v>#VALUE!</v>
      </c>
      <c r="W112" s="19" t="str">
        <f t="shared" si="119"/>
        <v>#VALUE!</v>
      </c>
      <c r="X112" s="19" t="str">
        <f t="shared" si="69"/>
        <v>#VALUE!</v>
      </c>
    </row>
    <row r="113">
      <c r="A113" s="13">
        <v>1.0</v>
      </c>
      <c r="B113" s="132">
        <v>63.22</v>
      </c>
      <c r="C113" s="133">
        <v>1.0</v>
      </c>
      <c r="D113" s="133" t="s">
        <v>24</v>
      </c>
      <c r="E113" s="134" t="s">
        <v>25</v>
      </c>
      <c r="F113" s="133">
        <v>0.0</v>
      </c>
      <c r="G113" s="135">
        <v>2013.0</v>
      </c>
      <c r="H113" s="141" t="s">
        <v>514</v>
      </c>
      <c r="I113" s="33" t="s">
        <v>515</v>
      </c>
      <c r="J113" s="33" t="s">
        <v>214</v>
      </c>
      <c r="K113" s="73" t="s">
        <v>516</v>
      </c>
      <c r="L113" s="33" t="s">
        <v>517</v>
      </c>
      <c r="M113" s="33" t="s">
        <v>488</v>
      </c>
      <c r="N113" s="33" t="s">
        <v>518</v>
      </c>
      <c r="O113" s="33" t="s">
        <v>361</v>
      </c>
      <c r="P113" s="33" t="s">
        <v>519</v>
      </c>
      <c r="Q113" s="19" t="str">
        <f t="shared" ref="Q113:W113" si="120">I113-H113</f>
        <v>#VALUE!</v>
      </c>
      <c r="R113" s="19" t="str">
        <f t="shared" si="120"/>
        <v>#VALUE!</v>
      </c>
      <c r="S113" s="19" t="str">
        <f t="shared" si="120"/>
        <v>#VALUE!</v>
      </c>
      <c r="T113" s="19" t="str">
        <f t="shared" si="120"/>
        <v>#VALUE!</v>
      </c>
      <c r="U113" s="19" t="str">
        <f t="shared" si="120"/>
        <v>#VALUE!</v>
      </c>
      <c r="V113" s="19" t="str">
        <f t="shared" si="120"/>
        <v>#VALUE!</v>
      </c>
      <c r="W113" s="19" t="str">
        <f t="shared" si="120"/>
        <v>#VALUE!</v>
      </c>
      <c r="X113" s="19" t="str">
        <f t="shared" si="69"/>
        <v>#VALUE!</v>
      </c>
    </row>
    <row r="114">
      <c r="A114" s="13">
        <v>1.0</v>
      </c>
      <c r="B114" s="132">
        <v>63.23</v>
      </c>
      <c r="C114" s="133">
        <v>2.0</v>
      </c>
      <c r="D114" s="133" t="s">
        <v>259</v>
      </c>
      <c r="E114" s="134" t="s">
        <v>37</v>
      </c>
      <c r="F114" s="133">
        <v>0.0</v>
      </c>
      <c r="G114" s="135">
        <v>2013.0</v>
      </c>
      <c r="H114" s="73" t="s">
        <v>164</v>
      </c>
      <c r="I114" s="73" t="s">
        <v>520</v>
      </c>
      <c r="J114" s="33" t="s">
        <v>521</v>
      </c>
      <c r="K114" s="33" t="s">
        <v>444</v>
      </c>
      <c r="L114" s="33" t="s">
        <v>522</v>
      </c>
      <c r="M114" s="73" t="s">
        <v>523</v>
      </c>
      <c r="N114" s="73" t="s">
        <v>524</v>
      </c>
      <c r="O114" s="33" t="s">
        <v>525</v>
      </c>
      <c r="P114" s="33" t="s">
        <v>519</v>
      </c>
      <c r="Q114" s="19" t="str">
        <f t="shared" ref="Q114:W114" si="121">I114-H114</f>
        <v>#VALUE!</v>
      </c>
      <c r="R114" s="19" t="str">
        <f t="shared" si="121"/>
        <v>#VALUE!</v>
      </c>
      <c r="S114" s="19" t="str">
        <f t="shared" si="121"/>
        <v>#VALUE!</v>
      </c>
      <c r="T114" s="19" t="str">
        <f t="shared" si="121"/>
        <v>#VALUE!</v>
      </c>
      <c r="U114" s="19" t="str">
        <f t="shared" si="121"/>
        <v>#VALUE!</v>
      </c>
      <c r="V114" s="19" t="str">
        <f t="shared" si="121"/>
        <v>#VALUE!</v>
      </c>
      <c r="W114" s="19" t="str">
        <f t="shared" si="121"/>
        <v>#VALUE!</v>
      </c>
      <c r="X114" s="19" t="str">
        <f t="shared" si="69"/>
        <v>#VALUE!</v>
      </c>
    </row>
    <row r="115">
      <c r="A115" s="21">
        <v>1.0</v>
      </c>
      <c r="B115" s="125">
        <v>63.25</v>
      </c>
      <c r="C115" s="126">
        <v>1.0</v>
      </c>
      <c r="D115" s="126" t="s">
        <v>24</v>
      </c>
      <c r="E115" s="126"/>
      <c r="F115" s="126">
        <v>1.0</v>
      </c>
      <c r="G115" s="127">
        <v>2013.0</v>
      </c>
      <c r="H115" s="65" t="s">
        <v>526</v>
      </c>
      <c r="I115" s="128" t="s">
        <v>459</v>
      </c>
      <c r="J115" s="128" t="s">
        <v>527</v>
      </c>
      <c r="K115" s="128" t="s">
        <v>528</v>
      </c>
      <c r="L115" s="128" t="s">
        <v>529</v>
      </c>
      <c r="M115" s="128" t="s">
        <v>134</v>
      </c>
      <c r="N115" s="71" t="s">
        <v>530</v>
      </c>
      <c r="O115" s="128" t="s">
        <v>531</v>
      </c>
      <c r="P115" s="128" t="s">
        <v>532</v>
      </c>
      <c r="Q115" s="27" t="str">
        <f t="shared" ref="Q115:W115" si="122">I115-H115</f>
        <v>#VALUE!</v>
      </c>
      <c r="R115" s="27" t="str">
        <f t="shared" si="122"/>
        <v>#VALUE!</v>
      </c>
      <c r="S115" s="27" t="str">
        <f t="shared" si="122"/>
        <v>#VALUE!</v>
      </c>
      <c r="T115" s="27" t="str">
        <f t="shared" si="122"/>
        <v>#VALUE!</v>
      </c>
      <c r="U115" s="27" t="str">
        <f t="shared" si="122"/>
        <v>#VALUE!</v>
      </c>
      <c r="V115" s="27" t="str">
        <f t="shared" si="122"/>
        <v>#VALUE!</v>
      </c>
      <c r="W115" s="27" t="str">
        <f t="shared" si="122"/>
        <v>#VALUE!</v>
      </c>
      <c r="X115" s="27" t="str">
        <f t="shared" si="69"/>
        <v>#VALUE!</v>
      </c>
    </row>
    <row r="116">
      <c r="A116" s="21">
        <v>1.0</v>
      </c>
      <c r="B116" s="125">
        <v>63.27</v>
      </c>
      <c r="C116" s="126">
        <v>3.0</v>
      </c>
      <c r="D116" s="126" t="s">
        <v>259</v>
      </c>
      <c r="E116" s="126" t="s">
        <v>25</v>
      </c>
      <c r="F116" s="126">
        <v>1.0</v>
      </c>
      <c r="G116" s="127">
        <v>2014.0</v>
      </c>
      <c r="H116" s="128" t="s">
        <v>533</v>
      </c>
      <c r="I116" s="128" t="s">
        <v>534</v>
      </c>
      <c r="J116" s="128" t="s">
        <v>143</v>
      </c>
      <c r="K116" s="128" t="s">
        <v>535</v>
      </c>
      <c r="L116" s="128" t="s">
        <v>383</v>
      </c>
      <c r="M116" s="128" t="s">
        <v>536</v>
      </c>
      <c r="N116" s="128" t="s">
        <v>537</v>
      </c>
      <c r="O116" s="128" t="s">
        <v>538</v>
      </c>
      <c r="P116" s="128" t="s">
        <v>539</v>
      </c>
      <c r="Q116" s="27" t="str">
        <f t="shared" ref="Q116:W116" si="123">I116-H116</f>
        <v>#VALUE!</v>
      </c>
      <c r="R116" s="27" t="str">
        <f t="shared" si="123"/>
        <v>#VALUE!</v>
      </c>
      <c r="S116" s="27" t="str">
        <f t="shared" si="123"/>
        <v>#VALUE!</v>
      </c>
      <c r="T116" s="27" t="str">
        <f t="shared" si="123"/>
        <v>#VALUE!</v>
      </c>
      <c r="U116" s="27" t="str">
        <f t="shared" si="123"/>
        <v>#VALUE!</v>
      </c>
      <c r="V116" s="27" t="str">
        <f t="shared" si="123"/>
        <v>#VALUE!</v>
      </c>
      <c r="W116" s="27" t="str">
        <f t="shared" si="123"/>
        <v>#VALUE!</v>
      </c>
      <c r="X116" s="27" t="str">
        <f t="shared" si="69"/>
        <v>#VALUE!</v>
      </c>
    </row>
    <row r="117">
      <c r="A117" s="13">
        <v>1.0</v>
      </c>
      <c r="B117" s="132">
        <v>63.32</v>
      </c>
      <c r="C117" s="133">
        <v>2.0</v>
      </c>
      <c r="D117" s="133" t="s">
        <v>259</v>
      </c>
      <c r="E117" s="134" t="s">
        <v>37</v>
      </c>
      <c r="F117" s="133">
        <v>0.0</v>
      </c>
      <c r="G117" s="135">
        <v>2013.0</v>
      </c>
      <c r="H117" s="141" t="s">
        <v>451</v>
      </c>
      <c r="I117" s="33" t="s">
        <v>540</v>
      </c>
      <c r="J117" s="33" t="s">
        <v>541</v>
      </c>
      <c r="K117" s="33" t="s">
        <v>542</v>
      </c>
      <c r="L117" s="33" t="s">
        <v>543</v>
      </c>
      <c r="M117" s="33" t="s">
        <v>400</v>
      </c>
      <c r="N117" s="33" t="s">
        <v>107</v>
      </c>
      <c r="O117" s="33" t="s">
        <v>544</v>
      </c>
      <c r="P117" s="33" t="s">
        <v>363</v>
      </c>
      <c r="Q117" s="19" t="str">
        <f t="shared" ref="Q117:W117" si="124">I117-H117</f>
        <v>#VALUE!</v>
      </c>
      <c r="R117" s="19" t="str">
        <f t="shared" si="124"/>
        <v>#VALUE!</v>
      </c>
      <c r="S117" s="19" t="str">
        <f t="shared" si="124"/>
        <v>#VALUE!</v>
      </c>
      <c r="T117" s="19" t="str">
        <f t="shared" si="124"/>
        <v>#VALUE!</v>
      </c>
      <c r="U117" s="19" t="str">
        <f t="shared" si="124"/>
        <v>#VALUE!</v>
      </c>
      <c r="V117" s="19" t="str">
        <f t="shared" si="124"/>
        <v>#VALUE!</v>
      </c>
      <c r="W117" s="19" t="str">
        <f t="shared" si="124"/>
        <v>#VALUE!</v>
      </c>
      <c r="X117" s="19" t="str">
        <f t="shared" si="69"/>
        <v>#VALUE!</v>
      </c>
    </row>
    <row r="118">
      <c r="A118" s="13">
        <v>1.0</v>
      </c>
      <c r="B118" s="142">
        <v>63.34</v>
      </c>
      <c r="C118" s="133">
        <v>1.0</v>
      </c>
      <c r="D118" s="133" t="s">
        <v>24</v>
      </c>
      <c r="E118" s="134" t="s">
        <v>25</v>
      </c>
      <c r="F118" s="133">
        <v>0.0</v>
      </c>
      <c r="G118" s="135">
        <v>2013.0</v>
      </c>
      <c r="H118" s="33" t="s">
        <v>299</v>
      </c>
      <c r="I118" s="33" t="s">
        <v>545</v>
      </c>
      <c r="J118" s="33" t="s">
        <v>546</v>
      </c>
      <c r="K118" s="33" t="s">
        <v>547</v>
      </c>
      <c r="L118" s="33" t="s">
        <v>548</v>
      </c>
      <c r="M118" s="33" t="s">
        <v>549</v>
      </c>
      <c r="N118" s="33" t="s">
        <v>400</v>
      </c>
      <c r="O118" s="33" t="s">
        <v>361</v>
      </c>
      <c r="P118" s="33" t="s">
        <v>363</v>
      </c>
      <c r="Q118" s="19" t="str">
        <f t="shared" ref="Q118:W118" si="125">I118-H118</f>
        <v>#VALUE!</v>
      </c>
      <c r="R118" s="19" t="str">
        <f t="shared" si="125"/>
        <v>#VALUE!</v>
      </c>
      <c r="S118" s="19" t="str">
        <f t="shared" si="125"/>
        <v>#VALUE!</v>
      </c>
      <c r="T118" s="19" t="str">
        <f t="shared" si="125"/>
        <v>#VALUE!</v>
      </c>
      <c r="U118" s="19" t="str">
        <f t="shared" si="125"/>
        <v>#VALUE!</v>
      </c>
      <c r="V118" s="19" t="str">
        <f t="shared" si="125"/>
        <v>#VALUE!</v>
      </c>
      <c r="W118" s="19" t="str">
        <f t="shared" si="125"/>
        <v>#VALUE!</v>
      </c>
      <c r="X118" s="19" t="str">
        <f t="shared" si="69"/>
        <v>#VALUE!</v>
      </c>
    </row>
    <row r="119">
      <c r="A119" s="13">
        <v>1.0</v>
      </c>
      <c r="B119" s="14">
        <v>63.36</v>
      </c>
      <c r="C119" s="15">
        <v>1.0</v>
      </c>
      <c r="D119" s="15" t="s">
        <v>24</v>
      </c>
      <c r="E119" s="15"/>
      <c r="F119" s="15">
        <v>0.0</v>
      </c>
      <c r="G119" s="17">
        <v>2013.0</v>
      </c>
      <c r="H119" s="73" t="s">
        <v>550</v>
      </c>
      <c r="I119" s="73" t="s">
        <v>551</v>
      </c>
      <c r="J119" s="73" t="s">
        <v>117</v>
      </c>
      <c r="K119" s="73" t="s">
        <v>552</v>
      </c>
      <c r="L119" s="73" t="s">
        <v>60</v>
      </c>
      <c r="M119" s="73" t="s">
        <v>553</v>
      </c>
      <c r="N119" s="73" t="s">
        <v>167</v>
      </c>
      <c r="O119" s="73" t="s">
        <v>435</v>
      </c>
      <c r="P119" s="73" t="s">
        <v>554</v>
      </c>
      <c r="Q119" s="19" t="str">
        <f t="shared" ref="Q119:W119" si="126">I119-H119</f>
        <v>#VALUE!</v>
      </c>
      <c r="R119" s="19" t="str">
        <f t="shared" si="126"/>
        <v>#VALUE!</v>
      </c>
      <c r="S119" s="19" t="str">
        <f t="shared" si="126"/>
        <v>#VALUE!</v>
      </c>
      <c r="T119" s="19" t="str">
        <f t="shared" si="126"/>
        <v>#VALUE!</v>
      </c>
      <c r="U119" s="19" t="str">
        <f t="shared" si="126"/>
        <v>#VALUE!</v>
      </c>
      <c r="V119" s="19" t="str">
        <f t="shared" si="126"/>
        <v>#VALUE!</v>
      </c>
      <c r="W119" s="19" t="str">
        <f t="shared" si="126"/>
        <v>#VALUE!</v>
      </c>
      <c r="X119" s="19" t="str">
        <f t="shared" si="69"/>
        <v>#VALUE!</v>
      </c>
    </row>
    <row r="120">
      <c r="A120" s="13">
        <v>1.0</v>
      </c>
      <c r="B120" s="132">
        <v>63.37</v>
      </c>
      <c r="C120" s="133">
        <v>1.0</v>
      </c>
      <c r="D120" s="133" t="s">
        <v>259</v>
      </c>
      <c r="E120" s="133"/>
      <c r="F120" s="133">
        <v>1.0</v>
      </c>
      <c r="G120" s="135">
        <v>2013.0</v>
      </c>
      <c r="H120" s="141" t="s">
        <v>555</v>
      </c>
      <c r="I120" s="33" t="s">
        <v>556</v>
      </c>
      <c r="J120" s="33" t="s">
        <v>515</v>
      </c>
      <c r="K120" s="33" t="s">
        <v>557</v>
      </c>
      <c r="L120" s="33" t="s">
        <v>558</v>
      </c>
      <c r="M120" s="73"/>
      <c r="N120" s="73"/>
      <c r="O120" s="33" t="s">
        <v>559</v>
      </c>
      <c r="P120" s="33" t="s">
        <v>560</v>
      </c>
      <c r="Q120" s="20" t="str">
        <f t="shared" ref="Q120:W120" si="127">I120-H120</f>
        <v>#VALUE!</v>
      </c>
      <c r="R120" s="19" t="str">
        <f t="shared" si="127"/>
        <v>#VALUE!</v>
      </c>
      <c r="S120" s="19" t="str">
        <f t="shared" si="127"/>
        <v>#VALUE!</v>
      </c>
      <c r="T120" s="19" t="str">
        <f t="shared" si="127"/>
        <v>#VALUE!</v>
      </c>
      <c r="U120" s="19" t="str">
        <f t="shared" si="127"/>
        <v>#VALUE!</v>
      </c>
      <c r="V120" s="19">
        <f t="shared" si="127"/>
        <v>0</v>
      </c>
      <c r="W120" s="19" t="str">
        <f t="shared" si="127"/>
        <v>#VALUE!</v>
      </c>
      <c r="X120" s="19" t="str">
        <f t="shared" si="69"/>
        <v>#VALUE!</v>
      </c>
    </row>
    <row r="121">
      <c r="A121" s="13">
        <v>1.0</v>
      </c>
      <c r="B121" s="137">
        <v>63.38</v>
      </c>
      <c r="C121" s="30">
        <v>2.0</v>
      </c>
      <c r="D121" s="30" t="s">
        <v>259</v>
      </c>
      <c r="E121" s="30"/>
      <c r="F121" s="30">
        <v>0.0</v>
      </c>
      <c r="G121" s="64">
        <v>2013.0</v>
      </c>
      <c r="H121" s="18" t="s">
        <v>487</v>
      </c>
      <c r="I121" s="18" t="s">
        <v>561</v>
      </c>
      <c r="J121" s="18" t="s">
        <v>562</v>
      </c>
      <c r="K121" s="18" t="s">
        <v>563</v>
      </c>
      <c r="L121" s="18" t="s">
        <v>564</v>
      </c>
      <c r="M121" s="18" t="s">
        <v>463</v>
      </c>
      <c r="N121" s="18" t="s">
        <v>565</v>
      </c>
      <c r="O121" s="18" t="s">
        <v>239</v>
      </c>
      <c r="P121" s="18" t="s">
        <v>159</v>
      </c>
      <c r="Q121" s="19" t="str">
        <f t="shared" ref="Q121:W121" si="128">I121-H121</f>
        <v>#VALUE!</v>
      </c>
      <c r="R121" s="19" t="str">
        <f t="shared" si="128"/>
        <v>#VALUE!</v>
      </c>
      <c r="S121" s="19" t="str">
        <f t="shared" si="128"/>
        <v>#VALUE!</v>
      </c>
      <c r="T121" s="19" t="str">
        <f t="shared" si="128"/>
        <v>#VALUE!</v>
      </c>
      <c r="U121" s="19" t="str">
        <f t="shared" si="128"/>
        <v>#VALUE!</v>
      </c>
      <c r="V121" s="19" t="str">
        <f t="shared" si="128"/>
        <v>#VALUE!</v>
      </c>
      <c r="W121" s="19" t="str">
        <f t="shared" si="128"/>
        <v>#VALUE!</v>
      </c>
      <c r="X121" s="19" t="str">
        <f t="shared" si="69"/>
        <v>#VALUE!</v>
      </c>
    </row>
    <row r="122">
      <c r="A122" s="13">
        <v>1.0</v>
      </c>
      <c r="B122" s="117">
        <v>72.02</v>
      </c>
      <c r="C122" s="118">
        <v>2.0</v>
      </c>
      <c r="D122" s="118" t="s">
        <v>24</v>
      </c>
      <c r="E122" s="119" t="s">
        <v>25</v>
      </c>
      <c r="F122" s="118">
        <v>0.0</v>
      </c>
      <c r="G122" s="120">
        <v>2013.0</v>
      </c>
      <c r="H122" s="73" t="s">
        <v>566</v>
      </c>
      <c r="I122" s="75">
        <v>41655.0</v>
      </c>
      <c r="J122" s="73" t="s">
        <v>516</v>
      </c>
      <c r="K122" s="73" t="s">
        <v>567</v>
      </c>
      <c r="L122" s="75">
        <v>41736.0</v>
      </c>
      <c r="M122" s="75">
        <v>41762.0</v>
      </c>
      <c r="N122" s="75">
        <v>41777.0</v>
      </c>
      <c r="O122" s="75">
        <v>41792.0</v>
      </c>
      <c r="P122" s="75">
        <v>41807.0</v>
      </c>
      <c r="Q122" s="19" t="str">
        <f t="shared" ref="Q122:W122" si="129">I122-H122</f>
        <v>#VALUE!</v>
      </c>
      <c r="R122" s="19" t="str">
        <f t="shared" si="129"/>
        <v>#VALUE!</v>
      </c>
      <c r="S122" s="19" t="str">
        <f t="shared" si="129"/>
        <v>#VALUE!</v>
      </c>
      <c r="T122" s="19" t="str">
        <f t="shared" si="129"/>
        <v>#VALUE!</v>
      </c>
      <c r="U122" s="19">
        <f t="shared" si="129"/>
        <v>26</v>
      </c>
      <c r="V122" s="19">
        <f t="shared" si="129"/>
        <v>15</v>
      </c>
      <c r="W122" s="19">
        <f t="shared" si="129"/>
        <v>15</v>
      </c>
      <c r="X122" s="19" t="str">
        <f t="shared" si="69"/>
        <v>#VALUE!</v>
      </c>
    </row>
    <row r="123">
      <c r="A123" s="13">
        <v>1.0</v>
      </c>
      <c r="B123" s="137">
        <v>79.01</v>
      </c>
      <c r="C123" s="30">
        <v>1.0</v>
      </c>
      <c r="D123" s="30" t="s">
        <v>259</v>
      </c>
      <c r="E123" s="30"/>
      <c r="F123" s="30">
        <v>0.0</v>
      </c>
      <c r="G123" s="32">
        <v>2013.0</v>
      </c>
      <c r="H123" s="18" t="s">
        <v>568</v>
      </c>
      <c r="I123" s="18" t="s">
        <v>561</v>
      </c>
      <c r="J123" s="18" t="s">
        <v>181</v>
      </c>
      <c r="K123" s="18" t="s">
        <v>569</v>
      </c>
      <c r="L123" s="18" t="s">
        <v>171</v>
      </c>
      <c r="M123" s="18" t="s">
        <v>553</v>
      </c>
      <c r="N123" s="18" t="s">
        <v>167</v>
      </c>
      <c r="O123" s="18" t="s">
        <v>570</v>
      </c>
      <c r="P123" s="18" t="s">
        <v>571</v>
      </c>
      <c r="Q123" s="19" t="str">
        <f t="shared" ref="Q123:W123" si="130">I123-H123</f>
        <v>#VALUE!</v>
      </c>
      <c r="R123" s="19" t="str">
        <f t="shared" si="130"/>
        <v>#VALUE!</v>
      </c>
      <c r="S123" s="19" t="str">
        <f t="shared" si="130"/>
        <v>#VALUE!</v>
      </c>
      <c r="T123" s="19" t="str">
        <f t="shared" si="130"/>
        <v>#VALUE!</v>
      </c>
      <c r="U123" s="19" t="str">
        <f t="shared" si="130"/>
        <v>#VALUE!</v>
      </c>
      <c r="V123" s="19" t="str">
        <f t="shared" si="130"/>
        <v>#VALUE!</v>
      </c>
      <c r="W123" s="19" t="str">
        <f t="shared" si="130"/>
        <v>#VALUE!</v>
      </c>
      <c r="X123" s="19" t="str">
        <f t="shared" si="69"/>
        <v>#VALUE!</v>
      </c>
    </row>
    <row r="124">
      <c r="A124" s="21" t="s">
        <v>35</v>
      </c>
      <c r="B124" s="143">
        <v>79.01</v>
      </c>
      <c r="C124" s="35"/>
      <c r="D124" s="36" t="s">
        <v>36</v>
      </c>
      <c r="E124" s="36"/>
      <c r="F124" s="35"/>
      <c r="G124" s="1">
        <f>YEAR(H124)</f>
        <v>2016</v>
      </c>
      <c r="H124" s="62">
        <v>42702.0</v>
      </c>
      <c r="I124" s="62">
        <v>42723.0</v>
      </c>
      <c r="J124" s="62">
        <v>42744.0</v>
      </c>
      <c r="K124" s="62">
        <v>42775.0</v>
      </c>
      <c r="L124" s="62">
        <v>42815.0</v>
      </c>
      <c r="M124" s="62">
        <v>42849.0</v>
      </c>
      <c r="N124" s="62">
        <v>42866.0</v>
      </c>
      <c r="O124" s="62">
        <v>42912.0</v>
      </c>
      <c r="P124" s="62">
        <v>42927.0</v>
      </c>
      <c r="Q124" s="27">
        <f t="shared" ref="Q124:W124" si="131">I124-H124</f>
        <v>21</v>
      </c>
      <c r="R124" s="27">
        <f t="shared" si="131"/>
        <v>21</v>
      </c>
      <c r="S124" s="27">
        <f t="shared" si="131"/>
        <v>31</v>
      </c>
      <c r="T124" s="27">
        <f t="shared" si="131"/>
        <v>40</v>
      </c>
      <c r="U124" s="27">
        <f t="shared" si="131"/>
        <v>34</v>
      </c>
      <c r="V124" s="27">
        <f t="shared" si="131"/>
        <v>17</v>
      </c>
      <c r="W124" s="27">
        <f t="shared" si="131"/>
        <v>46</v>
      </c>
      <c r="X124" s="27">
        <f t="shared" si="69"/>
        <v>210</v>
      </c>
    </row>
    <row r="125">
      <c r="A125" s="13">
        <v>1.0</v>
      </c>
      <c r="B125" s="132">
        <v>79.02</v>
      </c>
      <c r="C125" s="133">
        <v>2.0</v>
      </c>
      <c r="D125" s="133" t="s">
        <v>24</v>
      </c>
      <c r="E125" s="134" t="s">
        <v>25</v>
      </c>
      <c r="F125" s="133">
        <v>0.0</v>
      </c>
      <c r="G125" s="135">
        <v>2014.0</v>
      </c>
      <c r="H125" s="33" t="s">
        <v>278</v>
      </c>
      <c r="I125" s="33" t="s">
        <v>572</v>
      </c>
      <c r="J125" s="33" t="s">
        <v>427</v>
      </c>
      <c r="K125" s="33" t="s">
        <v>573</v>
      </c>
      <c r="L125" s="33" t="s">
        <v>440</v>
      </c>
      <c r="M125" s="33" t="s">
        <v>574</v>
      </c>
      <c r="N125" s="33" t="s">
        <v>575</v>
      </c>
      <c r="O125" s="33" t="s">
        <v>441</v>
      </c>
      <c r="P125" s="33" t="s">
        <v>432</v>
      </c>
      <c r="Q125" s="19" t="str">
        <f t="shared" ref="Q125:W125" si="132">I125-H125</f>
        <v>#VALUE!</v>
      </c>
      <c r="R125" s="20" t="str">
        <f t="shared" si="132"/>
        <v>#VALUE!</v>
      </c>
      <c r="S125" s="19" t="str">
        <f t="shared" si="132"/>
        <v>#VALUE!</v>
      </c>
      <c r="T125" s="19" t="str">
        <f t="shared" si="132"/>
        <v>#VALUE!</v>
      </c>
      <c r="U125" s="19" t="str">
        <f t="shared" si="132"/>
        <v>#VALUE!</v>
      </c>
      <c r="V125" s="19" t="str">
        <f t="shared" si="132"/>
        <v>#VALUE!</v>
      </c>
      <c r="W125" s="19" t="str">
        <f t="shared" si="132"/>
        <v>#VALUE!</v>
      </c>
      <c r="X125" s="19" t="str">
        <f t="shared" si="69"/>
        <v>#VALUE!</v>
      </c>
    </row>
    <row r="126">
      <c r="A126" s="21" t="s">
        <v>35</v>
      </c>
      <c r="B126" s="143">
        <v>79.02</v>
      </c>
      <c r="C126" s="35"/>
      <c r="D126" s="36" t="s">
        <v>36</v>
      </c>
      <c r="E126" s="36"/>
      <c r="F126" s="35"/>
      <c r="G126" s="1">
        <f t="shared" ref="G126:G127" si="134">YEAR(H126)</f>
        <v>2016</v>
      </c>
      <c r="H126" s="62">
        <v>42703.0</v>
      </c>
      <c r="I126" s="62">
        <v>42728.0</v>
      </c>
      <c r="J126" s="62">
        <v>42745.0</v>
      </c>
      <c r="K126" s="62">
        <v>42773.0</v>
      </c>
      <c r="L126" s="62">
        <v>42809.0</v>
      </c>
      <c r="M126" s="62">
        <v>42852.0</v>
      </c>
      <c r="N126" s="62">
        <v>42863.0</v>
      </c>
      <c r="O126" s="62">
        <v>42880.0</v>
      </c>
      <c r="P126" s="62">
        <v>42899.0</v>
      </c>
      <c r="Q126" s="27">
        <f t="shared" ref="Q126:W126" si="133">I126-H126</f>
        <v>25</v>
      </c>
      <c r="R126" s="27">
        <f t="shared" si="133"/>
        <v>17</v>
      </c>
      <c r="S126" s="27">
        <f t="shared" si="133"/>
        <v>28</v>
      </c>
      <c r="T126" s="27">
        <f t="shared" si="133"/>
        <v>36</v>
      </c>
      <c r="U126" s="27">
        <f t="shared" si="133"/>
        <v>43</v>
      </c>
      <c r="V126" s="27">
        <f t="shared" si="133"/>
        <v>11</v>
      </c>
      <c r="W126" s="27">
        <f t="shared" si="133"/>
        <v>17</v>
      </c>
      <c r="X126" s="27">
        <f t="shared" si="69"/>
        <v>177</v>
      </c>
    </row>
    <row r="127">
      <c r="A127" s="21" t="s">
        <v>35</v>
      </c>
      <c r="B127" s="34" t="s">
        <v>576</v>
      </c>
      <c r="C127" s="35"/>
      <c r="D127" s="36" t="s">
        <v>36</v>
      </c>
      <c r="E127" s="36"/>
      <c r="F127" s="35"/>
      <c r="G127" s="1">
        <f t="shared" si="134"/>
        <v>2016</v>
      </c>
      <c r="H127" s="62">
        <v>42653.0</v>
      </c>
      <c r="I127" s="62">
        <v>42668.0</v>
      </c>
      <c r="J127" s="62">
        <v>42699.0</v>
      </c>
      <c r="K127" s="62">
        <v>42781.0</v>
      </c>
      <c r="L127" s="62">
        <v>42830.0</v>
      </c>
      <c r="M127" s="62">
        <v>42882.0</v>
      </c>
      <c r="N127" s="62">
        <v>42901.0</v>
      </c>
      <c r="O127" s="62">
        <v>42916.0</v>
      </c>
      <c r="P127" s="62">
        <v>42939.0</v>
      </c>
      <c r="Q127" s="27">
        <f t="shared" ref="Q127:W127" si="135">I127-H127</f>
        <v>15</v>
      </c>
      <c r="R127" s="27">
        <f t="shared" si="135"/>
        <v>31</v>
      </c>
      <c r="S127" s="27">
        <f t="shared" si="135"/>
        <v>82</v>
      </c>
      <c r="T127" s="27">
        <f t="shared" si="135"/>
        <v>49</v>
      </c>
      <c r="U127" s="27">
        <f t="shared" si="135"/>
        <v>52</v>
      </c>
      <c r="V127" s="27">
        <f t="shared" si="135"/>
        <v>19</v>
      </c>
      <c r="W127" s="27">
        <f t="shared" si="135"/>
        <v>15</v>
      </c>
      <c r="X127" s="27">
        <f t="shared" si="69"/>
        <v>263</v>
      </c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9.63"/>
    <col customWidth="1" min="8" max="8" width="8.63"/>
    <col customWidth="1" min="9" max="10" width="11.25"/>
    <col customWidth="1" min="11" max="11" width="10.13"/>
    <col customWidth="1" min="12" max="16" width="11.25"/>
    <col customWidth="1" min="17" max="26" width="8.63"/>
  </cols>
  <sheetData>
    <row r="1" ht="12.75" customHeight="1">
      <c r="A1" s="8">
        <v>1.0</v>
      </c>
      <c r="B1" s="9">
        <v>1.01</v>
      </c>
      <c r="C1" s="10">
        <v>1.0</v>
      </c>
      <c r="D1" s="10" t="s">
        <v>24</v>
      </c>
      <c r="E1" s="10" t="s">
        <v>25</v>
      </c>
      <c r="F1" s="10">
        <v>0.0</v>
      </c>
      <c r="G1" s="11">
        <v>2014.0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12" t="str">
        <f t="shared" ref="Q1:W1" si="1">I1-H1</f>
        <v>#VALUE!</v>
      </c>
      <c r="R1" s="12" t="str">
        <f t="shared" si="1"/>
        <v>#VALUE!</v>
      </c>
      <c r="S1" s="12" t="str">
        <f t="shared" si="1"/>
        <v>#VALUE!</v>
      </c>
      <c r="T1" s="12" t="str">
        <f t="shared" si="1"/>
        <v>#VALUE!</v>
      </c>
      <c r="U1" s="12" t="str">
        <f t="shared" si="1"/>
        <v>#VALUE!</v>
      </c>
      <c r="V1" s="12" t="str">
        <f t="shared" si="1"/>
        <v>#VALUE!</v>
      </c>
      <c r="W1" s="12" t="str">
        <f t="shared" si="1"/>
        <v>#VALUE!</v>
      </c>
      <c r="X1" s="12" t="str">
        <f t="shared" ref="X1:X8" si="3">SUM(Q1:W1)</f>
        <v>#VALUE!</v>
      </c>
      <c r="Y1" s="10"/>
      <c r="Z1" s="10"/>
    </row>
    <row r="2" ht="12.75" customHeight="1">
      <c r="A2" s="8" t="s">
        <v>35</v>
      </c>
      <c r="B2" s="9">
        <v>1.05</v>
      </c>
      <c r="C2" s="10"/>
      <c r="D2" s="10" t="s">
        <v>36</v>
      </c>
      <c r="E2" s="10" t="s">
        <v>37</v>
      </c>
      <c r="F2" s="10"/>
      <c r="G2" s="11">
        <v>2016.0</v>
      </c>
      <c r="H2" s="8" t="s">
        <v>38</v>
      </c>
      <c r="I2" s="8" t="s">
        <v>39</v>
      </c>
      <c r="J2" s="8" t="s">
        <v>40</v>
      </c>
      <c r="K2" s="8" t="s">
        <v>41</v>
      </c>
      <c r="L2" s="8" t="s">
        <v>42</v>
      </c>
      <c r="M2" s="8" t="s">
        <v>43</v>
      </c>
      <c r="N2" s="8" t="s">
        <v>44</v>
      </c>
      <c r="O2" s="8" t="s">
        <v>45</v>
      </c>
      <c r="P2" s="8" t="s">
        <v>46</v>
      </c>
      <c r="Q2" s="12" t="str">
        <f t="shared" ref="Q2:W2" si="2">I2-H2</f>
        <v>#VALUE!</v>
      </c>
      <c r="R2" s="12" t="str">
        <f t="shared" si="2"/>
        <v>#VALUE!</v>
      </c>
      <c r="S2" s="12" t="str">
        <f t="shared" si="2"/>
        <v>#VALUE!</v>
      </c>
      <c r="T2" s="12" t="str">
        <f t="shared" si="2"/>
        <v>#VALUE!</v>
      </c>
      <c r="U2" s="12" t="str">
        <f t="shared" si="2"/>
        <v>#VALUE!</v>
      </c>
      <c r="V2" s="12" t="str">
        <f t="shared" si="2"/>
        <v>#VALUE!</v>
      </c>
      <c r="W2" s="12" t="str">
        <f t="shared" si="2"/>
        <v>#VALUE!</v>
      </c>
      <c r="X2" s="12" t="str">
        <f t="shared" si="3"/>
        <v>#VALUE!</v>
      </c>
      <c r="Y2" s="10"/>
      <c r="Z2" s="10"/>
    </row>
    <row r="3" ht="12.75" customHeight="1">
      <c r="A3" s="8" t="s">
        <v>35</v>
      </c>
      <c r="B3" s="9">
        <v>26.11</v>
      </c>
      <c r="C3" s="10"/>
      <c r="D3" s="10" t="s">
        <v>36</v>
      </c>
      <c r="E3" s="10" t="s">
        <v>187</v>
      </c>
      <c r="F3" s="10"/>
      <c r="G3" s="11">
        <f t="shared" ref="G3:G4" si="5">YEAR(H3)</f>
        <v>2016</v>
      </c>
      <c r="H3" s="86">
        <v>42662.0</v>
      </c>
      <c r="I3" s="86">
        <v>42777.0</v>
      </c>
      <c r="J3" s="86">
        <v>42809.0</v>
      </c>
      <c r="K3" s="86">
        <v>42827.0</v>
      </c>
      <c r="L3" s="8" t="s">
        <v>188</v>
      </c>
      <c r="M3" s="86">
        <v>42877.0</v>
      </c>
      <c r="N3" s="86">
        <v>42884.0</v>
      </c>
      <c r="O3" s="86">
        <v>42909.0</v>
      </c>
      <c r="P3" s="86">
        <v>42939.0</v>
      </c>
      <c r="Q3" s="12" t="str">
        <f>#REF!-H3</f>
        <v>#REF!</v>
      </c>
      <c r="R3" s="12" t="str">
        <f>I3-#REF!</f>
        <v>#REF!</v>
      </c>
      <c r="S3" s="12">
        <f t="shared" ref="S3:U3" si="4">J3-I3</f>
        <v>32</v>
      </c>
      <c r="T3" s="12">
        <f t="shared" si="4"/>
        <v>18</v>
      </c>
      <c r="U3" s="12" t="str">
        <f t="shared" si="4"/>
        <v>#VALUE!</v>
      </c>
      <c r="V3" s="12" t="str">
        <f>N3-L3</f>
        <v>#VALUE!</v>
      </c>
      <c r="W3" s="12">
        <f>O3-N3</f>
        <v>25</v>
      </c>
      <c r="X3" s="12" t="str">
        <f t="shared" si="3"/>
        <v>#REF!</v>
      </c>
      <c r="Y3" s="10"/>
      <c r="Z3" s="10"/>
    </row>
    <row r="4" ht="12.75" customHeight="1">
      <c r="A4" s="8" t="s">
        <v>35</v>
      </c>
      <c r="B4" s="9">
        <v>26.12</v>
      </c>
      <c r="C4" s="10"/>
      <c r="D4" s="10" t="s">
        <v>36</v>
      </c>
      <c r="E4" s="10"/>
      <c r="F4" s="10"/>
      <c r="G4" s="11">
        <f t="shared" si="5"/>
        <v>2016</v>
      </c>
      <c r="H4" s="86">
        <v>42642.0</v>
      </c>
      <c r="I4" s="86">
        <v>42771.0</v>
      </c>
      <c r="J4" s="86">
        <v>42797.0</v>
      </c>
      <c r="K4" s="86">
        <v>42826.0</v>
      </c>
      <c r="L4" s="86">
        <v>42856.0</v>
      </c>
      <c r="M4" s="86">
        <v>42878.0</v>
      </c>
      <c r="N4" s="86">
        <v>42889.0</v>
      </c>
      <c r="O4" s="86">
        <v>42918.0</v>
      </c>
      <c r="P4" s="86">
        <v>42937.0</v>
      </c>
      <c r="Q4" s="12">
        <f t="shared" ref="Q4:W4" si="6">I4-H4</f>
        <v>129</v>
      </c>
      <c r="R4" s="12">
        <f t="shared" si="6"/>
        <v>26</v>
      </c>
      <c r="S4" s="12">
        <f t="shared" si="6"/>
        <v>29</v>
      </c>
      <c r="T4" s="12">
        <f t="shared" si="6"/>
        <v>30</v>
      </c>
      <c r="U4" s="12">
        <f t="shared" si="6"/>
        <v>22</v>
      </c>
      <c r="V4" s="12">
        <f t="shared" si="6"/>
        <v>11</v>
      </c>
      <c r="W4" s="12">
        <f t="shared" si="6"/>
        <v>29</v>
      </c>
      <c r="X4" s="12">
        <f t="shared" si="3"/>
        <v>276</v>
      </c>
      <c r="Y4" s="10"/>
      <c r="Z4" s="10"/>
    </row>
    <row r="5" ht="12.75" customHeight="1">
      <c r="A5" s="8" t="s">
        <v>35</v>
      </c>
      <c r="B5" s="9">
        <v>27.02</v>
      </c>
      <c r="C5" s="10"/>
      <c r="D5" s="10" t="s">
        <v>36</v>
      </c>
      <c r="E5" s="10"/>
      <c r="F5" s="10"/>
      <c r="G5" s="11">
        <v>2016.0</v>
      </c>
      <c r="H5" s="8" t="s">
        <v>189</v>
      </c>
      <c r="I5" s="8" t="s">
        <v>190</v>
      </c>
      <c r="J5" s="8" t="s">
        <v>191</v>
      </c>
      <c r="K5" s="8" t="s">
        <v>192</v>
      </c>
      <c r="L5" s="8" t="s">
        <v>193</v>
      </c>
      <c r="M5" s="8" t="s">
        <v>194</v>
      </c>
      <c r="N5" s="8" t="s">
        <v>79</v>
      </c>
      <c r="O5" s="8" t="s">
        <v>195</v>
      </c>
      <c r="P5" s="8" t="s">
        <v>196</v>
      </c>
      <c r="Q5" s="12" t="str">
        <f t="shared" ref="Q5:W5" si="7">I5-H5</f>
        <v>#VALUE!</v>
      </c>
      <c r="R5" s="12" t="str">
        <f t="shared" si="7"/>
        <v>#VALUE!</v>
      </c>
      <c r="S5" s="12" t="str">
        <f t="shared" si="7"/>
        <v>#VALUE!</v>
      </c>
      <c r="T5" s="12" t="str">
        <f t="shared" si="7"/>
        <v>#VALUE!</v>
      </c>
      <c r="U5" s="12" t="str">
        <f t="shared" si="7"/>
        <v>#VALUE!</v>
      </c>
      <c r="V5" s="12" t="str">
        <f t="shared" si="7"/>
        <v>#VALUE!</v>
      </c>
      <c r="W5" s="12" t="str">
        <f t="shared" si="7"/>
        <v>#VALUE!</v>
      </c>
      <c r="X5" s="12" t="str">
        <f t="shared" si="3"/>
        <v>#VALUE!</v>
      </c>
      <c r="Y5" s="10"/>
      <c r="Z5" s="10"/>
    </row>
    <row r="6" ht="12.75" customHeight="1">
      <c r="A6" s="8">
        <v>1.0</v>
      </c>
      <c r="B6" s="9">
        <v>27.03</v>
      </c>
      <c r="C6" s="10">
        <v>2.0</v>
      </c>
      <c r="D6" s="10" t="s">
        <v>24</v>
      </c>
      <c r="E6" s="10"/>
      <c r="F6" s="10">
        <v>0.0</v>
      </c>
      <c r="G6" s="11">
        <v>2013.0</v>
      </c>
      <c r="H6" s="144" t="s">
        <v>577</v>
      </c>
      <c r="I6" s="8" t="s">
        <v>198</v>
      </c>
      <c r="J6" s="8" t="s">
        <v>199</v>
      </c>
      <c r="K6" s="8" t="s">
        <v>200</v>
      </c>
      <c r="L6" s="8" t="s">
        <v>201</v>
      </c>
      <c r="M6" s="8" t="s">
        <v>202</v>
      </c>
      <c r="N6" s="8" t="s">
        <v>203</v>
      </c>
      <c r="O6" s="8" t="s">
        <v>204</v>
      </c>
      <c r="P6" s="8" t="s">
        <v>205</v>
      </c>
      <c r="Q6" s="12" t="str">
        <f t="shared" ref="Q6:W6" si="8">I6-H6</f>
        <v>#VALUE!</v>
      </c>
      <c r="R6" s="12" t="str">
        <f t="shared" si="8"/>
        <v>#VALUE!</v>
      </c>
      <c r="S6" s="12" t="str">
        <f t="shared" si="8"/>
        <v>#VALUE!</v>
      </c>
      <c r="T6" s="12" t="str">
        <f t="shared" si="8"/>
        <v>#VALUE!</v>
      </c>
      <c r="U6" s="12" t="str">
        <f t="shared" si="8"/>
        <v>#VALUE!</v>
      </c>
      <c r="V6" s="12" t="str">
        <f t="shared" si="8"/>
        <v>#VALUE!</v>
      </c>
      <c r="W6" s="12" t="str">
        <f t="shared" si="8"/>
        <v>#VALUE!</v>
      </c>
      <c r="X6" s="12" t="str">
        <f t="shared" si="3"/>
        <v>#VALUE!</v>
      </c>
      <c r="Y6" s="10"/>
      <c r="Z6" s="10"/>
    </row>
    <row r="7" ht="12.75" customHeight="1">
      <c r="A7" s="8" t="s">
        <v>35</v>
      </c>
      <c r="B7" s="9">
        <v>27.04</v>
      </c>
      <c r="C7" s="10"/>
      <c r="D7" s="10" t="s">
        <v>36</v>
      </c>
      <c r="E7" s="10" t="s">
        <v>25</v>
      </c>
      <c r="F7" s="10"/>
      <c r="G7" s="11">
        <v>2016.0</v>
      </c>
      <c r="H7" s="8" t="s">
        <v>189</v>
      </c>
      <c r="I7" s="8" t="s">
        <v>206</v>
      </c>
      <c r="J7" s="8" t="s">
        <v>41</v>
      </c>
      <c r="K7" s="8" t="s">
        <v>207</v>
      </c>
      <c r="L7" s="8" t="s">
        <v>208</v>
      </c>
      <c r="M7" s="8" t="s">
        <v>209</v>
      </c>
      <c r="N7" s="8" t="s">
        <v>210</v>
      </c>
      <c r="O7" s="8" t="s">
        <v>211</v>
      </c>
      <c r="P7" s="8" t="s">
        <v>212</v>
      </c>
      <c r="Q7" s="12" t="str">
        <f t="shared" ref="Q7:W7" si="9">I7-H7</f>
        <v>#VALUE!</v>
      </c>
      <c r="R7" s="12" t="str">
        <f t="shared" si="9"/>
        <v>#VALUE!</v>
      </c>
      <c r="S7" s="12" t="str">
        <f t="shared" si="9"/>
        <v>#VALUE!</v>
      </c>
      <c r="T7" s="12" t="str">
        <f t="shared" si="9"/>
        <v>#VALUE!</v>
      </c>
      <c r="U7" s="12" t="str">
        <f t="shared" si="9"/>
        <v>#VALUE!</v>
      </c>
      <c r="V7" s="12" t="str">
        <f t="shared" si="9"/>
        <v>#VALUE!</v>
      </c>
      <c r="W7" s="12" t="str">
        <f t="shared" si="9"/>
        <v>#VALUE!</v>
      </c>
      <c r="X7" s="12" t="str">
        <f t="shared" si="3"/>
        <v>#VALUE!</v>
      </c>
      <c r="Y7" s="10"/>
      <c r="Z7" s="10"/>
    </row>
    <row r="8" ht="12.75" customHeight="1">
      <c r="A8" s="8">
        <v>1.0</v>
      </c>
      <c r="B8" s="9">
        <v>27.05</v>
      </c>
      <c r="C8" s="10">
        <v>1.0</v>
      </c>
      <c r="D8" s="10" t="s">
        <v>24</v>
      </c>
      <c r="E8" s="10" t="s">
        <v>25</v>
      </c>
      <c r="F8" s="10">
        <v>0.0</v>
      </c>
      <c r="G8" s="11">
        <v>2013.0</v>
      </c>
      <c r="H8" s="8" t="s">
        <v>213</v>
      </c>
      <c r="I8" s="8" t="s">
        <v>214</v>
      </c>
      <c r="J8" s="8" t="s">
        <v>215</v>
      </c>
      <c r="K8" s="8" t="s">
        <v>216</v>
      </c>
      <c r="L8" s="8" t="s">
        <v>217</v>
      </c>
      <c r="M8" s="8" t="s">
        <v>218</v>
      </c>
      <c r="N8" s="8" t="s">
        <v>219</v>
      </c>
      <c r="O8" s="8" t="s">
        <v>220</v>
      </c>
      <c r="P8" s="8" t="s">
        <v>221</v>
      </c>
      <c r="Q8" s="12" t="str">
        <f t="shared" ref="Q8:W8" si="10">I8-H8</f>
        <v>#VALUE!</v>
      </c>
      <c r="R8" s="12" t="str">
        <f t="shared" si="10"/>
        <v>#VALUE!</v>
      </c>
      <c r="S8" s="12" t="str">
        <f t="shared" si="10"/>
        <v>#VALUE!</v>
      </c>
      <c r="T8" s="12" t="str">
        <f t="shared" si="10"/>
        <v>#VALUE!</v>
      </c>
      <c r="U8" s="12" t="str">
        <f t="shared" si="10"/>
        <v>#VALUE!</v>
      </c>
      <c r="V8" s="12" t="str">
        <f t="shared" si="10"/>
        <v>#VALUE!</v>
      </c>
      <c r="W8" s="12" t="str">
        <f t="shared" si="10"/>
        <v>#VALUE!</v>
      </c>
      <c r="X8" s="12" t="str">
        <f t="shared" si="3"/>
        <v>#VALUE!</v>
      </c>
      <c r="Y8" s="10"/>
      <c r="Z8" s="10"/>
    </row>
    <row r="9" ht="12.75" customHeight="1">
      <c r="A9" s="8"/>
      <c r="B9" s="9"/>
      <c r="C9" s="10"/>
      <c r="D9" s="10"/>
      <c r="E9" s="10"/>
      <c r="F9" s="10"/>
      <c r="G9" s="11"/>
      <c r="H9" s="86"/>
      <c r="I9" s="86"/>
      <c r="J9" s="86"/>
      <c r="K9" s="86"/>
      <c r="L9" s="86"/>
      <c r="M9" s="86"/>
      <c r="N9" s="86"/>
      <c r="O9" s="86"/>
      <c r="P9" s="86"/>
      <c r="Q9" s="12"/>
      <c r="R9" s="12"/>
      <c r="S9" s="12"/>
      <c r="T9" s="12"/>
      <c r="U9" s="12"/>
      <c r="V9" s="12"/>
      <c r="W9" s="12"/>
      <c r="X9" s="12"/>
      <c r="Y9" s="10"/>
      <c r="Z9" s="10"/>
    </row>
    <row r="10" ht="12.75" customHeight="1">
      <c r="A10" s="8"/>
      <c r="B10" s="9"/>
      <c r="C10" s="10"/>
      <c r="D10" s="10"/>
      <c r="E10" s="10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12"/>
      <c r="R10" s="12"/>
      <c r="S10" s="12"/>
      <c r="T10" s="12"/>
      <c r="U10" s="12"/>
      <c r="V10" s="12"/>
      <c r="W10" s="12"/>
      <c r="X10" s="12"/>
      <c r="Y10" s="10"/>
      <c r="Z10" s="10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2024-07-04T15:02:03Z</dcterms:created>
  <dc:creator>Ayda</dc:creator>
</cp:coreProperties>
</file>