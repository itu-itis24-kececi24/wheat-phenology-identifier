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Ders\blg521\"/>
    </mc:Choice>
  </mc:AlternateContent>
  <xr:revisionPtr revIDLastSave="0" documentId="13_ncr:1_{07CE952A-3FBE-4339-943F-2CF83DFA351A}" xr6:coauthVersionLast="47" xr6:coauthVersionMax="47" xr10:uidLastSave="{00000000-0000-0000-0000-000000000000}"/>
  <bookViews>
    <workbookView xWindow="2400" yWindow="1236" windowWidth="19848" windowHeight="10680" xr2:uid="{00000000-000D-0000-FFFF-FFFF00000000}"/>
  </bookViews>
  <sheets>
    <sheet name="label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" l="1"/>
  <c r="U2" i="3" s="1"/>
  <c r="N2" i="3"/>
  <c r="O2" i="3"/>
  <c r="P2" i="3"/>
  <c r="Q2" i="3"/>
  <c r="R2" i="3"/>
  <c r="S2" i="3"/>
  <c r="T2" i="3"/>
  <c r="M3" i="3"/>
  <c r="N3" i="3"/>
  <c r="O3" i="3"/>
  <c r="P3" i="3"/>
  <c r="Q3" i="3"/>
  <c r="R3" i="3"/>
  <c r="S3" i="3"/>
  <c r="T3" i="3"/>
  <c r="U3" i="3"/>
  <c r="M19" i="3"/>
  <c r="N19" i="3"/>
  <c r="O19" i="3"/>
  <c r="P19" i="3"/>
  <c r="Q19" i="3"/>
  <c r="R19" i="3"/>
  <c r="S19" i="3"/>
  <c r="T19" i="3"/>
  <c r="N18" i="3"/>
  <c r="O18" i="3"/>
  <c r="P18" i="3"/>
  <c r="Q18" i="3"/>
  <c r="R18" i="3"/>
  <c r="S18" i="3"/>
  <c r="T18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4" i="3"/>
  <c r="M14" i="3"/>
  <c r="N14" i="3"/>
  <c r="O14" i="3"/>
  <c r="P14" i="3"/>
  <c r="Q14" i="3"/>
  <c r="R14" i="3"/>
  <c r="S14" i="3"/>
  <c r="M15" i="3"/>
  <c r="N15" i="3"/>
  <c r="O15" i="3"/>
  <c r="P15" i="3"/>
  <c r="Q15" i="3"/>
  <c r="R15" i="3"/>
  <c r="S15" i="3"/>
  <c r="M16" i="3"/>
  <c r="N16" i="3"/>
  <c r="O16" i="3"/>
  <c r="P16" i="3"/>
  <c r="Q16" i="3"/>
  <c r="R16" i="3"/>
  <c r="S16" i="3"/>
  <c r="M17" i="3"/>
  <c r="N17" i="3"/>
  <c r="O17" i="3"/>
  <c r="P17" i="3"/>
  <c r="Q17" i="3"/>
  <c r="R17" i="3"/>
  <c r="S17" i="3"/>
  <c r="M18" i="3"/>
  <c r="S13" i="3"/>
  <c r="R13" i="3"/>
  <c r="Q13" i="3"/>
  <c r="P13" i="3"/>
  <c r="O13" i="3"/>
  <c r="N13" i="3"/>
  <c r="M13" i="3"/>
  <c r="S12" i="3"/>
  <c r="R12" i="3"/>
  <c r="Q12" i="3"/>
  <c r="P12" i="3"/>
  <c r="O12" i="3"/>
  <c r="N12" i="3"/>
  <c r="M12" i="3"/>
  <c r="S11" i="3"/>
  <c r="R11" i="3"/>
  <c r="Q11" i="3"/>
  <c r="P11" i="3"/>
  <c r="O11" i="3"/>
  <c r="N11" i="3"/>
  <c r="M11" i="3"/>
  <c r="S10" i="3"/>
  <c r="R10" i="3"/>
  <c r="Q10" i="3"/>
  <c r="P10" i="3"/>
  <c r="O10" i="3"/>
  <c r="N10" i="3"/>
  <c r="M10" i="3"/>
  <c r="S9" i="3"/>
  <c r="R9" i="3"/>
  <c r="Q9" i="3"/>
  <c r="P9" i="3"/>
  <c r="O9" i="3"/>
  <c r="N9" i="3"/>
  <c r="M9" i="3"/>
  <c r="C9" i="3"/>
  <c r="S8" i="3"/>
  <c r="R8" i="3"/>
  <c r="Q8" i="3"/>
  <c r="P8" i="3"/>
  <c r="O8" i="3"/>
  <c r="N8" i="3"/>
  <c r="M8" i="3"/>
  <c r="S7" i="3"/>
  <c r="R7" i="3"/>
  <c r="Q7" i="3"/>
  <c r="P7" i="3"/>
  <c r="O7" i="3"/>
  <c r="N7" i="3"/>
  <c r="M7" i="3"/>
  <c r="S6" i="3"/>
  <c r="R6" i="3"/>
  <c r="Q6" i="3"/>
  <c r="P6" i="3"/>
  <c r="O6" i="3"/>
  <c r="N6" i="3"/>
  <c r="M6" i="3"/>
  <c r="S5" i="3"/>
  <c r="R5" i="3"/>
  <c r="Q5" i="3"/>
  <c r="P5" i="3"/>
  <c r="O5" i="3"/>
  <c r="N5" i="3"/>
  <c r="M5" i="3"/>
  <c r="S4" i="3"/>
  <c r="R4" i="3"/>
  <c r="Q4" i="3"/>
  <c r="P4" i="3"/>
  <c r="O4" i="3"/>
  <c r="N4" i="3"/>
  <c r="M4" i="3"/>
  <c r="U18" i="3" l="1"/>
  <c r="U12" i="3"/>
  <c r="U10" i="3"/>
  <c r="U8" i="3"/>
  <c r="U19" i="3"/>
  <c r="U17" i="3"/>
  <c r="U7" i="3"/>
  <c r="U5" i="3"/>
  <c r="U11" i="3"/>
  <c r="U6" i="3"/>
  <c r="U9" i="3"/>
  <c r="U13" i="3"/>
  <c r="U14" i="3"/>
  <c r="U4" i="3"/>
  <c r="U16" i="3"/>
  <c r="U15" i="3"/>
</calcChain>
</file>

<file path=xl/sharedStrings.xml><?xml version="1.0" encoding="utf-8"?>
<sst xmlns="http://schemas.openxmlformats.org/spreadsheetml/2006/main" count="110" uniqueCount="96">
  <si>
    <t>kamera</t>
  </si>
  <si>
    <t>bitki</t>
  </si>
  <si>
    <t>Year</t>
  </si>
  <si>
    <t>1-Ekim</t>
  </si>
  <si>
    <t>2 - Çıkış</t>
  </si>
  <si>
    <t>3 - Çimlenme</t>
  </si>
  <si>
    <t>4 - Kardeşlenme</t>
  </si>
  <si>
    <t>5 - Sapa Kalkma</t>
  </si>
  <si>
    <t>6 - Başaklanma</t>
  </si>
  <si>
    <t>7 - Çiçeklenme</t>
  </si>
  <si>
    <t>8 - Olgunlaşma</t>
  </si>
  <si>
    <t>9 - Hasat</t>
  </si>
  <si>
    <t>PS1 - Emergence</t>
  </si>
  <si>
    <t>PS2 - Floral Initiation</t>
  </si>
  <si>
    <t>PS3 - Terminal Spikelet</t>
  </si>
  <si>
    <t>PS4 - First Node</t>
  </si>
  <si>
    <t>PS5 - Heading</t>
  </si>
  <si>
    <t>PS6 - Anthesis</t>
  </si>
  <si>
    <t>PS7 - Maturity</t>
  </si>
  <si>
    <t>total</t>
  </si>
  <si>
    <t>bugday</t>
  </si>
  <si>
    <t>Buğday</t>
  </si>
  <si>
    <t>12.01.2014</t>
  </si>
  <si>
    <t>15.02.2014</t>
  </si>
  <si>
    <t>12.05.2014</t>
  </si>
  <si>
    <t>17.06.2014</t>
  </si>
  <si>
    <t>24.12.2014</t>
  </si>
  <si>
    <t>13.01.2015</t>
  </si>
  <si>
    <t>19.02.2015</t>
  </si>
  <si>
    <t>01.05.2015</t>
  </si>
  <si>
    <t>17.05.2015</t>
  </si>
  <si>
    <t>28.05.2015</t>
  </si>
  <si>
    <t>02.07.2015</t>
  </si>
  <si>
    <t>03.11.2013</t>
  </si>
  <si>
    <t>17.11.2013</t>
  </si>
  <si>
    <t>07.01.2014</t>
  </si>
  <si>
    <t>31.01.2014</t>
  </si>
  <si>
    <t>07.03.2014</t>
  </si>
  <si>
    <t>12.04.2014</t>
  </si>
  <si>
    <t>21.04.2014</t>
  </si>
  <si>
    <t>12.06.2014</t>
  </si>
  <si>
    <t>15.11.2014</t>
  </si>
  <si>
    <t>05.12.2014</t>
  </si>
  <si>
    <t>27.12.2014</t>
  </si>
  <si>
    <t>25.01.2015</t>
  </si>
  <si>
    <t>20.03.2015</t>
  </si>
  <si>
    <t>19.04.2015</t>
  </si>
  <si>
    <t>09.05.2015</t>
  </si>
  <si>
    <t>22.05.2015</t>
  </si>
  <si>
    <t>13.06.2015</t>
  </si>
  <si>
    <t>24.11.2013</t>
  </si>
  <si>
    <t>15.12.2013</t>
  </si>
  <si>
    <t>28.01.2014</t>
  </si>
  <si>
    <t>06.03.2014</t>
  </si>
  <si>
    <t>20.04.2014</t>
  </si>
  <si>
    <t>05.05.2014</t>
  </si>
  <si>
    <t>18.05.2014</t>
  </si>
  <si>
    <t>15.11.2013</t>
  </si>
  <si>
    <t>25.12.2013</t>
  </si>
  <si>
    <t>08.02.2014</t>
  </si>
  <si>
    <t>28.04.2014</t>
  </si>
  <si>
    <t>20.05.2014</t>
  </si>
  <si>
    <t>24.06.2014</t>
  </si>
  <si>
    <t>19.12.2013</t>
  </si>
  <si>
    <t>12.02.2014</t>
  </si>
  <si>
    <t>28.02.2014</t>
  </si>
  <si>
    <t>25.03.2014</t>
  </si>
  <si>
    <t>26.05.2014</t>
  </si>
  <si>
    <t>16.06.2014</t>
  </si>
  <si>
    <t>04.07.2014</t>
  </si>
  <si>
    <t>24.07.2014</t>
  </si>
  <si>
    <t>saat/kamera - EKİM</t>
  </si>
  <si>
    <t>k1</t>
  </si>
  <si>
    <t>k2</t>
  </si>
  <si>
    <t>6.03.2015</t>
  </si>
  <si>
    <t>ID</t>
  </si>
  <si>
    <t>Station Code</t>
  </si>
  <si>
    <t>02.02</t>
  </si>
  <si>
    <t>02.03</t>
  </si>
  <si>
    <t>02.04</t>
  </si>
  <si>
    <t>02.05</t>
  </si>
  <si>
    <t>02.06</t>
  </si>
  <si>
    <t>06.01</t>
  </si>
  <si>
    <t>06.02</t>
  </si>
  <si>
    <t>1.2.2017</t>
  </si>
  <si>
    <t>5.5.2014</t>
  </si>
  <si>
    <t>11.03</t>
  </si>
  <si>
    <t>PS8 - Pre Harvest</t>
  </si>
  <si>
    <t>26.11</t>
  </si>
  <si>
    <t>26.12</t>
  </si>
  <si>
    <t>27.02</t>
  </si>
  <si>
    <t>27.04</t>
  </si>
  <si>
    <t>27.05</t>
  </si>
  <si>
    <t>,</t>
  </si>
  <si>
    <t>01.01</t>
  </si>
  <si>
    <t>01.05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</si>
</sst>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9C5700"/>
      <name val="Arial"/>
      <family val="2"/>
      <charset val="162"/>
      <scheme val="minor"/>
    </font>
    <font>
      <b/>
      <sz val="11"/>
      <color rgb="FFFA7D00"/>
      <name val="Arial"/>
    </font>
    <font>
      <b/>
      <sz val="11"/>
      <color rgb="FFFA7D00"/>
      <name val="Arial"/>
      <family val="2"/>
      <charset val="162"/>
    </font>
    <font>
      <sz val="11"/>
      <color theme="1"/>
      <name val="Calibri"/>
      <family val="2"/>
      <charset val="162"/>
    </font>
    <font>
      <b/>
      <sz val="11"/>
      <color rgb="FF000000"/>
      <name val="Calibri"/>
      <family val="2"/>
      <charset val="162"/>
    </font>
    <font>
      <sz val="10"/>
      <color rgb="FF000000"/>
      <name val="Arial"/>
      <family val="2"/>
      <charset val="162"/>
      <scheme val="minor"/>
    </font>
    <font>
      <sz val="11"/>
      <color rgb="FF00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1A3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1A3FF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9" fillId="0" borderId="0"/>
  </cellStyleXfs>
  <cellXfs count="39">
    <xf numFmtId="0" fontId="0" fillId="0" borderId="0" xfId="0"/>
    <xf numFmtId="0" fontId="0" fillId="0" borderId="1" xfId="0" applyBorder="1"/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1" applyBorder="1" applyAlignment="1">
      <alignment horizontal="center" vertical="center"/>
    </xf>
    <xf numFmtId="14" fontId="4" fillId="2" borderId="1" xfId="1" applyNumberFormat="1" applyBorder="1" applyAlignment="1">
      <alignment horizontal="center"/>
    </xf>
    <xf numFmtId="0" fontId="4" fillId="2" borderId="1" xfId="1" applyBorder="1" applyAlignment="1">
      <alignment horizontal="center"/>
    </xf>
    <xf numFmtId="1" fontId="4" fillId="2" borderId="1" xfId="1" applyNumberFormat="1" applyBorder="1"/>
    <xf numFmtId="0" fontId="0" fillId="0" borderId="1" xfId="0" applyBorder="1" applyAlignment="1">
      <alignment horizontal="center" vertical="center"/>
    </xf>
    <xf numFmtId="1" fontId="4" fillId="2" borderId="2" xfId="1" applyNumberFormat="1" applyBorder="1"/>
    <xf numFmtId="0" fontId="4" fillId="2" borderId="1" xfId="1" applyBorder="1"/>
    <xf numFmtId="0" fontId="1" fillId="0" borderId="1" xfId="0" applyFont="1" applyBorder="1" applyAlignment="1">
      <alignment horizontal="center" vertical="center" wrapText="1"/>
    </xf>
    <xf numFmtId="0" fontId="4" fillId="2" borderId="1" xfId="1" applyBorder="1" applyAlignment="1"/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49" fontId="4" fillId="2" borderId="1" xfId="1" applyNumberFormat="1" applyBorder="1" applyAlignment="1">
      <alignment horizontal="left"/>
    </xf>
    <xf numFmtId="0" fontId="5" fillId="5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14" fontId="5" fillId="5" borderId="3" xfId="0" applyNumberFormat="1" applyFont="1" applyFill="1" applyBorder="1" applyAlignment="1">
      <alignment horizontal="center"/>
    </xf>
    <xf numFmtId="49" fontId="8" fillId="4" borderId="1" xfId="0" applyNumberFormat="1" applyFont="1" applyFill="1" applyBorder="1" applyAlignment="1">
      <alignment horizontal="center" vertical="center" wrapText="1"/>
    </xf>
    <xf numFmtId="2" fontId="6" fillId="5" borderId="3" xfId="0" quotePrefix="1" applyNumberFormat="1" applyFont="1" applyFill="1" applyBorder="1" applyAlignment="1">
      <alignment horizontal="left"/>
    </xf>
    <xf numFmtId="0" fontId="10" fillId="0" borderId="0" xfId="2" applyFont="1" applyAlignment="1">
      <alignment horizontal="center" vertical="center"/>
    </xf>
    <xf numFmtId="14" fontId="7" fillId="0" borderId="0" xfId="2" applyNumberFormat="1" applyFont="1" applyAlignment="1">
      <alignment horizontal="center"/>
    </xf>
    <xf numFmtId="14" fontId="7" fillId="7" borderId="0" xfId="2" applyNumberFormat="1" applyFont="1" applyFill="1" applyAlignment="1">
      <alignment horizontal="center"/>
    </xf>
    <xf numFmtId="2" fontId="7" fillId="6" borderId="0" xfId="2" quotePrefix="1" applyNumberFormat="1" applyFont="1" applyFill="1" applyAlignment="1">
      <alignment horizontal="left"/>
    </xf>
    <xf numFmtId="0" fontId="9" fillId="0" borderId="0" xfId="0" applyFont="1"/>
    <xf numFmtId="49" fontId="0" fillId="0" borderId="0" xfId="0" applyNumberFormat="1"/>
    <xf numFmtId="0" fontId="2" fillId="8" borderId="1" xfId="0" applyFont="1" applyFill="1" applyBorder="1" applyAlignment="1">
      <alignment horizontal="center" vertical="center"/>
    </xf>
    <xf numFmtId="164" fontId="2" fillId="8" borderId="1" xfId="0" quotePrefix="1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center" vertical="center" wrapText="1"/>
    </xf>
    <xf numFmtId="164" fontId="3" fillId="9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/>
    <xf numFmtId="2" fontId="1" fillId="0" borderId="1" xfId="0" quotePrefix="1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3">
    <cellStyle name="Normal" xfId="0" builtinId="0"/>
    <cellStyle name="Normal 2" xfId="2" xr:uid="{CEE22B8E-B52E-4AB2-8078-CD0596BF7D29}"/>
    <cellStyle name="Nötr" xfId="1" builtinId="28"/>
  </cellStyles>
  <dxfs count="0"/>
  <tableStyles count="0" defaultTableStyle="TableStyleMedium2" defaultPivotStyle="PivotStyleLight16"/>
  <colors>
    <mruColors>
      <color rgb="FFD1A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29"/>
  <sheetViews>
    <sheetView tabSelected="1" topLeftCell="H1" zoomScale="90" zoomScaleNormal="90" workbookViewId="0">
      <selection activeCell="X17" sqref="X17"/>
    </sheetView>
  </sheetViews>
  <sheetFormatPr defaultColWidth="12.6640625" defaultRowHeight="15" customHeight="1" x14ac:dyDescent="0.25"/>
  <cols>
    <col min="1" max="1" width="3" bestFit="1" customWidth="1"/>
    <col min="2" max="2" width="12.109375" bestFit="1" customWidth="1"/>
    <col min="3" max="3" width="11.6640625" customWidth="1"/>
    <col min="4" max="5" width="11.21875" bestFit="1" customWidth="1"/>
    <col min="6" max="6" width="12.6640625" bestFit="1" customWidth="1"/>
    <col min="7" max="7" width="15.44140625" bestFit="1" customWidth="1"/>
    <col min="8" max="8" width="14.77734375" bestFit="1" customWidth="1"/>
    <col min="9" max="9" width="14.33203125" bestFit="1" customWidth="1"/>
    <col min="10" max="10" width="14.109375" bestFit="1" customWidth="1"/>
    <col min="11" max="11" width="14.21875" bestFit="1" customWidth="1"/>
    <col min="12" max="12" width="11.21875" bestFit="1" customWidth="1"/>
    <col min="13" max="13" width="10.88671875" bestFit="1" customWidth="1"/>
    <col min="14" max="14" width="10.77734375" bestFit="1" customWidth="1"/>
    <col min="15" max="15" width="13.6640625" bestFit="1" customWidth="1"/>
    <col min="16" max="16" width="9.77734375" bestFit="1" customWidth="1"/>
    <col min="17" max="17" width="13.21875" bestFit="1" customWidth="1"/>
    <col min="18" max="18" width="8.6640625" bestFit="1" customWidth="1"/>
    <col min="19" max="19" width="8.77734375" bestFit="1" customWidth="1"/>
    <col min="20" max="20" width="8.77734375" customWidth="1"/>
    <col min="21" max="21" width="5.21875" bestFit="1" customWidth="1"/>
    <col min="22" max="22" width="7.5546875" bestFit="1" customWidth="1"/>
    <col min="23" max="23" width="8" bestFit="1" customWidth="1"/>
    <col min="24" max="24" width="13.21875" bestFit="1" customWidth="1"/>
  </cols>
  <sheetData>
    <row r="1" spans="1:24" ht="28.8" x14ac:dyDescent="0.25">
      <c r="A1" s="8" t="s">
        <v>75</v>
      </c>
      <c r="B1" s="2" t="s">
        <v>76</v>
      </c>
      <c r="C1" s="3" t="s">
        <v>2</v>
      </c>
      <c r="D1" s="13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5" t="s">
        <v>12</v>
      </c>
      <c r="N1" s="15" t="s">
        <v>13</v>
      </c>
      <c r="O1" s="15" t="s">
        <v>14</v>
      </c>
      <c r="P1" s="16" t="s">
        <v>15</v>
      </c>
      <c r="Q1" s="15" t="s">
        <v>16</v>
      </c>
      <c r="R1" s="15" t="s">
        <v>17</v>
      </c>
      <c r="S1" s="15" t="s">
        <v>18</v>
      </c>
      <c r="T1" s="22" t="s">
        <v>87</v>
      </c>
      <c r="U1" s="17" t="s">
        <v>19</v>
      </c>
      <c r="V1" s="3" t="s">
        <v>0</v>
      </c>
      <c r="W1" s="3" t="s">
        <v>1</v>
      </c>
      <c r="X1" s="11" t="s">
        <v>71</v>
      </c>
    </row>
    <row r="2" spans="1:24" ht="14.4" x14ac:dyDescent="0.25">
      <c r="A2" s="35">
        <v>1</v>
      </c>
      <c r="B2" s="37" t="s">
        <v>94</v>
      </c>
      <c r="C2" s="30">
        <v>2014</v>
      </c>
      <c r="D2" s="31">
        <v>41978</v>
      </c>
      <c r="E2" s="32">
        <v>41989</v>
      </c>
      <c r="F2" s="32">
        <v>42001</v>
      </c>
      <c r="G2" s="32">
        <v>42011</v>
      </c>
      <c r="H2" s="32">
        <v>42065</v>
      </c>
      <c r="I2" s="33">
        <v>42095</v>
      </c>
      <c r="J2" s="33">
        <v>42106</v>
      </c>
      <c r="K2" s="33">
        <v>42141</v>
      </c>
      <c r="L2" s="34">
        <v>42165</v>
      </c>
      <c r="M2" s="7">
        <f t="shared" ref="M2:M3" si="0">E2-D2</f>
        <v>11</v>
      </c>
      <c r="N2" s="7">
        <f t="shared" ref="N2:N3" si="1">F2-E2</f>
        <v>12</v>
      </c>
      <c r="O2" s="7">
        <f t="shared" ref="O2:O3" si="2">G2-F2</f>
        <v>10</v>
      </c>
      <c r="P2" s="9">
        <f t="shared" ref="P2:P3" si="3">H2-G2</f>
        <v>54</v>
      </c>
      <c r="Q2" s="7">
        <f t="shared" ref="Q2:Q3" si="4">I2-H2</f>
        <v>30</v>
      </c>
      <c r="R2" s="7">
        <f t="shared" ref="R2:R3" si="5">J2-I2</f>
        <v>11</v>
      </c>
      <c r="S2" s="7">
        <f t="shared" ref="S2:S3" si="6">K2-J2</f>
        <v>35</v>
      </c>
      <c r="T2" s="7">
        <f t="shared" ref="T2:T3" si="7">L2-K2</f>
        <v>24</v>
      </c>
      <c r="U2" s="7">
        <f t="shared" ref="U2:U3" si="8">SUM(M2:T2)</f>
        <v>187</v>
      </c>
      <c r="V2" s="38">
        <v>1</v>
      </c>
      <c r="W2" s="3"/>
      <c r="X2" s="11"/>
    </row>
    <row r="3" spans="1:24" ht="14.4" x14ac:dyDescent="0.25">
      <c r="A3" s="35">
        <v>2</v>
      </c>
      <c r="B3" s="37" t="s">
        <v>95</v>
      </c>
      <c r="C3" s="30">
        <v>2016</v>
      </c>
      <c r="D3" s="32">
        <v>42690</v>
      </c>
      <c r="E3" s="32">
        <v>42726</v>
      </c>
      <c r="F3" s="32">
        <v>42739</v>
      </c>
      <c r="G3" s="32">
        <v>42752</v>
      </c>
      <c r="H3" s="32">
        <v>42800</v>
      </c>
      <c r="I3" s="33">
        <v>42833</v>
      </c>
      <c r="J3" s="33">
        <v>42844</v>
      </c>
      <c r="K3" s="33">
        <v>42873</v>
      </c>
      <c r="L3" s="34">
        <v>42894</v>
      </c>
      <c r="M3" s="7">
        <f t="shared" si="0"/>
        <v>36</v>
      </c>
      <c r="N3" s="7">
        <f t="shared" si="1"/>
        <v>13</v>
      </c>
      <c r="O3" s="7">
        <f t="shared" si="2"/>
        <v>13</v>
      </c>
      <c r="P3" s="9">
        <f t="shared" si="3"/>
        <v>48</v>
      </c>
      <c r="Q3" s="7">
        <f t="shared" si="4"/>
        <v>33</v>
      </c>
      <c r="R3" s="7">
        <f t="shared" si="5"/>
        <v>11</v>
      </c>
      <c r="S3" s="7">
        <f t="shared" si="6"/>
        <v>29</v>
      </c>
      <c r="T3" s="7">
        <f t="shared" si="7"/>
        <v>21</v>
      </c>
      <c r="U3" s="7">
        <f t="shared" si="8"/>
        <v>204</v>
      </c>
      <c r="V3" s="38">
        <v>2</v>
      </c>
      <c r="W3" s="3"/>
      <c r="X3" s="11"/>
    </row>
    <row r="4" spans="1:24" ht="13.8" x14ac:dyDescent="0.25">
      <c r="A4" s="36">
        <v>3</v>
      </c>
      <c r="B4" s="18" t="s">
        <v>77</v>
      </c>
      <c r="C4" s="4">
        <v>2014</v>
      </c>
      <c r="D4" s="5">
        <v>41975</v>
      </c>
      <c r="E4" s="5" t="s">
        <v>26</v>
      </c>
      <c r="F4" s="5" t="s">
        <v>27</v>
      </c>
      <c r="G4" s="5" t="s">
        <v>28</v>
      </c>
      <c r="H4" s="6" t="s">
        <v>74</v>
      </c>
      <c r="I4" s="5" t="s">
        <v>29</v>
      </c>
      <c r="J4" s="5" t="s">
        <v>30</v>
      </c>
      <c r="K4" s="5" t="s">
        <v>31</v>
      </c>
      <c r="L4" s="5" t="s">
        <v>32</v>
      </c>
      <c r="M4" s="7">
        <f t="shared" ref="M4:R4" si="9">E4-D4</f>
        <v>22</v>
      </c>
      <c r="N4" s="7">
        <f t="shared" si="9"/>
        <v>20</v>
      </c>
      <c r="O4" s="7">
        <f t="shared" si="9"/>
        <v>37</v>
      </c>
      <c r="P4" s="9">
        <f t="shared" si="9"/>
        <v>15</v>
      </c>
      <c r="Q4" s="7">
        <f t="shared" si="9"/>
        <v>56</v>
      </c>
      <c r="R4" s="7">
        <f t="shared" si="9"/>
        <v>16</v>
      </c>
      <c r="S4" s="7">
        <f>K4-J4</f>
        <v>11</v>
      </c>
      <c r="T4" s="7">
        <f>L4-K4</f>
        <v>35</v>
      </c>
      <c r="U4" s="7">
        <f>SUM(M4:T4)</f>
        <v>212</v>
      </c>
      <c r="V4" s="10">
        <v>1</v>
      </c>
      <c r="W4" s="10" t="s">
        <v>20</v>
      </c>
      <c r="X4" s="10"/>
    </row>
    <row r="5" spans="1:24" ht="13.8" x14ac:dyDescent="0.25">
      <c r="A5" s="36">
        <v>4</v>
      </c>
      <c r="B5" s="18" t="s">
        <v>78</v>
      </c>
      <c r="C5" s="4">
        <v>2013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24</v>
      </c>
      <c r="L5" s="5" t="s">
        <v>40</v>
      </c>
      <c r="M5" s="7">
        <f t="shared" ref="M5:R5" si="10">E5-D5</f>
        <v>14</v>
      </c>
      <c r="N5" s="7">
        <f t="shared" si="10"/>
        <v>51</v>
      </c>
      <c r="O5" s="7">
        <f t="shared" si="10"/>
        <v>24</v>
      </c>
      <c r="P5" s="9">
        <f t="shared" si="10"/>
        <v>35</v>
      </c>
      <c r="Q5" s="7">
        <f t="shared" si="10"/>
        <v>36</v>
      </c>
      <c r="R5" s="7">
        <f t="shared" si="10"/>
        <v>9</v>
      </c>
      <c r="S5" s="7">
        <f t="shared" ref="S5:S13" si="11">K5-J5</f>
        <v>21</v>
      </c>
      <c r="T5" s="7">
        <f t="shared" ref="T5:T18" si="12">L5-K5</f>
        <v>31</v>
      </c>
      <c r="U5" s="7">
        <f t="shared" ref="U5:U18" si="13">SUM(M5:T5)</f>
        <v>221</v>
      </c>
      <c r="V5" s="10">
        <v>1</v>
      </c>
      <c r="W5" s="10" t="s">
        <v>20</v>
      </c>
      <c r="X5" s="10"/>
    </row>
    <row r="6" spans="1:24" ht="13.8" x14ac:dyDescent="0.25">
      <c r="A6" s="35">
        <v>5</v>
      </c>
      <c r="B6" s="18" t="s">
        <v>78</v>
      </c>
      <c r="C6" s="4">
        <v>2014</v>
      </c>
      <c r="D6" s="5" t="s">
        <v>41</v>
      </c>
      <c r="E6" s="5" t="s">
        <v>42</v>
      </c>
      <c r="F6" s="5" t="s">
        <v>43</v>
      </c>
      <c r="G6" s="5" t="s">
        <v>44</v>
      </c>
      <c r="H6" s="5" t="s">
        <v>45</v>
      </c>
      <c r="I6" s="5" t="s">
        <v>46</v>
      </c>
      <c r="J6" s="5" t="s">
        <v>47</v>
      </c>
      <c r="K6" s="5" t="s">
        <v>48</v>
      </c>
      <c r="L6" s="5" t="s">
        <v>49</v>
      </c>
      <c r="M6" s="7">
        <f t="shared" ref="M6:R6" si="14">E6-D6</f>
        <v>20</v>
      </c>
      <c r="N6" s="7">
        <f t="shared" si="14"/>
        <v>22</v>
      </c>
      <c r="O6" s="7">
        <f t="shared" si="14"/>
        <v>29</v>
      </c>
      <c r="P6" s="9">
        <f t="shared" si="14"/>
        <v>54</v>
      </c>
      <c r="Q6" s="7">
        <f t="shared" si="14"/>
        <v>30</v>
      </c>
      <c r="R6" s="7">
        <f t="shared" si="14"/>
        <v>20</v>
      </c>
      <c r="S6" s="7">
        <f t="shared" si="11"/>
        <v>13</v>
      </c>
      <c r="T6" s="7">
        <f t="shared" si="12"/>
        <v>22</v>
      </c>
      <c r="U6" s="7">
        <f t="shared" si="13"/>
        <v>210</v>
      </c>
      <c r="V6" s="10">
        <v>1</v>
      </c>
      <c r="W6" s="10" t="s">
        <v>20</v>
      </c>
      <c r="X6" s="10"/>
    </row>
    <row r="7" spans="1:24" ht="13.8" x14ac:dyDescent="0.25">
      <c r="A7" s="35">
        <v>6</v>
      </c>
      <c r="B7" s="18" t="s">
        <v>79</v>
      </c>
      <c r="C7" s="4">
        <v>2013</v>
      </c>
      <c r="D7" s="5" t="s">
        <v>50</v>
      </c>
      <c r="E7" s="5" t="s">
        <v>51</v>
      </c>
      <c r="F7" s="5" t="s">
        <v>52</v>
      </c>
      <c r="G7" s="5" t="s">
        <v>23</v>
      </c>
      <c r="H7" s="5" t="s">
        <v>53</v>
      </c>
      <c r="I7" s="5" t="s">
        <v>54</v>
      </c>
      <c r="J7" s="5" t="s">
        <v>55</v>
      </c>
      <c r="K7" s="5" t="s">
        <v>56</v>
      </c>
      <c r="L7" s="5" t="s">
        <v>25</v>
      </c>
      <c r="M7" s="7">
        <f t="shared" ref="M7:R7" si="15">E7-D7</f>
        <v>21</v>
      </c>
      <c r="N7" s="7">
        <f t="shared" si="15"/>
        <v>44</v>
      </c>
      <c r="O7" s="7">
        <f t="shared" si="15"/>
        <v>18</v>
      </c>
      <c r="P7" s="9">
        <f t="shared" si="15"/>
        <v>19</v>
      </c>
      <c r="Q7" s="7">
        <f t="shared" si="15"/>
        <v>45</v>
      </c>
      <c r="R7" s="7">
        <f t="shared" si="15"/>
        <v>15</v>
      </c>
      <c r="S7" s="7">
        <f t="shared" si="11"/>
        <v>13</v>
      </c>
      <c r="T7" s="7">
        <f t="shared" si="12"/>
        <v>30</v>
      </c>
      <c r="U7" s="7">
        <f t="shared" si="13"/>
        <v>205</v>
      </c>
      <c r="V7" s="10">
        <v>1</v>
      </c>
      <c r="W7" s="10" t="s">
        <v>20</v>
      </c>
      <c r="X7" s="10"/>
    </row>
    <row r="8" spans="1:24" ht="13.8" x14ac:dyDescent="0.25">
      <c r="A8" s="36">
        <v>7</v>
      </c>
      <c r="B8" s="18" t="s">
        <v>80</v>
      </c>
      <c r="C8" s="4">
        <v>2013</v>
      </c>
      <c r="D8" s="5" t="s">
        <v>57</v>
      </c>
      <c r="E8" s="5" t="s">
        <v>58</v>
      </c>
      <c r="F8" s="5" t="s">
        <v>22</v>
      </c>
      <c r="G8" s="5" t="s">
        <v>59</v>
      </c>
      <c r="H8" s="5" t="s">
        <v>53</v>
      </c>
      <c r="I8" s="5" t="s">
        <v>54</v>
      </c>
      <c r="J8" s="5" t="s">
        <v>60</v>
      </c>
      <c r="K8" s="5" t="s">
        <v>61</v>
      </c>
      <c r="L8" s="5" t="s">
        <v>62</v>
      </c>
      <c r="M8" s="7">
        <f t="shared" ref="M8:R8" si="16">E8-D8</f>
        <v>40</v>
      </c>
      <c r="N8" s="7">
        <f t="shared" si="16"/>
        <v>18</v>
      </c>
      <c r="O8" s="7">
        <f t="shared" si="16"/>
        <v>27</v>
      </c>
      <c r="P8" s="9">
        <f t="shared" si="16"/>
        <v>26</v>
      </c>
      <c r="Q8" s="7">
        <f t="shared" si="16"/>
        <v>45</v>
      </c>
      <c r="R8" s="7">
        <f t="shared" si="16"/>
        <v>8</v>
      </c>
      <c r="S8" s="7">
        <f t="shared" si="11"/>
        <v>22</v>
      </c>
      <c r="T8" s="7">
        <f t="shared" si="12"/>
        <v>35</v>
      </c>
      <c r="U8" s="7">
        <f t="shared" si="13"/>
        <v>221</v>
      </c>
      <c r="V8" s="10">
        <v>1</v>
      </c>
      <c r="W8" s="10" t="s">
        <v>20</v>
      </c>
      <c r="X8" s="10"/>
    </row>
    <row r="9" spans="1:24" ht="13.8" x14ac:dyDescent="0.25">
      <c r="A9" s="36">
        <v>8</v>
      </c>
      <c r="B9" s="18" t="s">
        <v>81</v>
      </c>
      <c r="C9" s="4">
        <f t="shared" ref="C9" si="17">YEAR(D9)</f>
        <v>2016</v>
      </c>
      <c r="D9" s="5">
        <v>42686</v>
      </c>
      <c r="E9" s="5">
        <v>42711</v>
      </c>
      <c r="F9" s="5">
        <v>42745</v>
      </c>
      <c r="G9" s="5">
        <v>42781</v>
      </c>
      <c r="H9" s="5">
        <v>42810</v>
      </c>
      <c r="I9" s="5">
        <v>42857</v>
      </c>
      <c r="J9" s="5">
        <v>42871</v>
      </c>
      <c r="K9" s="5">
        <v>42891</v>
      </c>
      <c r="L9" s="5">
        <v>42906</v>
      </c>
      <c r="M9" s="7">
        <f t="shared" ref="M9:R9" si="18">E9-D9</f>
        <v>25</v>
      </c>
      <c r="N9" s="7">
        <f t="shared" si="18"/>
        <v>34</v>
      </c>
      <c r="O9" s="7">
        <f t="shared" si="18"/>
        <v>36</v>
      </c>
      <c r="P9" s="9">
        <f t="shared" si="18"/>
        <v>29</v>
      </c>
      <c r="Q9" s="7">
        <f t="shared" si="18"/>
        <v>47</v>
      </c>
      <c r="R9" s="7">
        <f t="shared" si="18"/>
        <v>14</v>
      </c>
      <c r="S9" s="7">
        <f t="shared" si="11"/>
        <v>20</v>
      </c>
      <c r="T9" s="7">
        <f t="shared" si="12"/>
        <v>15</v>
      </c>
      <c r="U9" s="7">
        <f t="shared" si="13"/>
        <v>220</v>
      </c>
      <c r="V9" s="10">
        <v>2</v>
      </c>
      <c r="W9" s="10" t="s">
        <v>21</v>
      </c>
      <c r="X9" s="12" t="s">
        <v>73</v>
      </c>
    </row>
    <row r="10" spans="1:24" ht="13.8" x14ac:dyDescent="0.25">
      <c r="A10" s="35">
        <v>9</v>
      </c>
      <c r="B10" s="18" t="s">
        <v>82</v>
      </c>
      <c r="C10" s="4">
        <v>2013</v>
      </c>
      <c r="D10" s="5">
        <v>41592</v>
      </c>
      <c r="E10" s="5">
        <v>41705</v>
      </c>
      <c r="F10" s="5">
        <v>41730</v>
      </c>
      <c r="G10" s="5">
        <v>41745</v>
      </c>
      <c r="H10" s="5">
        <v>41751</v>
      </c>
      <c r="I10" s="5">
        <v>41780</v>
      </c>
      <c r="J10" s="5">
        <v>41803</v>
      </c>
      <c r="K10" s="5">
        <v>41815</v>
      </c>
      <c r="L10" s="5">
        <v>41842</v>
      </c>
      <c r="M10" s="7">
        <f t="shared" ref="M10:R10" si="19">E10-D10</f>
        <v>113</v>
      </c>
      <c r="N10" s="7">
        <f t="shared" si="19"/>
        <v>25</v>
      </c>
      <c r="O10" s="7">
        <f t="shared" si="19"/>
        <v>15</v>
      </c>
      <c r="P10" s="9">
        <f t="shared" si="19"/>
        <v>6</v>
      </c>
      <c r="Q10" s="7">
        <f t="shared" si="19"/>
        <v>29</v>
      </c>
      <c r="R10" s="7">
        <f t="shared" si="19"/>
        <v>23</v>
      </c>
      <c r="S10" s="7">
        <f t="shared" si="11"/>
        <v>12</v>
      </c>
      <c r="T10" s="7">
        <f t="shared" si="12"/>
        <v>27</v>
      </c>
      <c r="U10" s="7">
        <f t="shared" si="13"/>
        <v>250</v>
      </c>
      <c r="V10" s="10">
        <v>1</v>
      </c>
      <c r="W10" s="10" t="s">
        <v>20</v>
      </c>
      <c r="X10" s="12" t="s">
        <v>72</v>
      </c>
    </row>
    <row r="11" spans="1:24" ht="13.8" x14ac:dyDescent="0.25">
      <c r="A11" s="35">
        <v>10</v>
      </c>
      <c r="B11" s="18" t="s">
        <v>83</v>
      </c>
      <c r="C11" s="4">
        <v>2013</v>
      </c>
      <c r="D11" s="5" t="s">
        <v>63</v>
      </c>
      <c r="E11" s="5" t="s">
        <v>64</v>
      </c>
      <c r="F11" s="5" t="s">
        <v>65</v>
      </c>
      <c r="G11" s="5" t="s">
        <v>66</v>
      </c>
      <c r="H11" s="5" t="s">
        <v>38</v>
      </c>
      <c r="I11" s="5" t="s">
        <v>67</v>
      </c>
      <c r="J11" s="5" t="s">
        <v>68</v>
      </c>
      <c r="K11" s="5" t="s">
        <v>69</v>
      </c>
      <c r="L11" s="5" t="s">
        <v>70</v>
      </c>
      <c r="M11" s="7">
        <f t="shared" ref="M11:R11" si="20">E11-D11</f>
        <v>55</v>
      </c>
      <c r="N11" s="7">
        <f t="shared" si="20"/>
        <v>16</v>
      </c>
      <c r="O11" s="7">
        <f t="shared" si="20"/>
        <v>25</v>
      </c>
      <c r="P11" s="9">
        <f t="shared" si="20"/>
        <v>18</v>
      </c>
      <c r="Q11" s="7">
        <f t="shared" si="20"/>
        <v>44</v>
      </c>
      <c r="R11" s="7">
        <f t="shared" si="20"/>
        <v>21</v>
      </c>
      <c r="S11" s="7">
        <f t="shared" si="11"/>
        <v>18</v>
      </c>
      <c r="T11" s="7">
        <f t="shared" si="12"/>
        <v>20</v>
      </c>
      <c r="U11" s="7">
        <f t="shared" si="13"/>
        <v>217</v>
      </c>
      <c r="V11" s="10">
        <v>1</v>
      </c>
      <c r="W11" s="10" t="s">
        <v>20</v>
      </c>
      <c r="X11" s="10"/>
    </row>
    <row r="12" spans="1:24" ht="13.8" x14ac:dyDescent="0.25">
      <c r="A12" s="36">
        <v>11</v>
      </c>
      <c r="B12" s="18" t="s">
        <v>83</v>
      </c>
      <c r="C12" s="4">
        <v>2016</v>
      </c>
      <c r="D12" s="5">
        <v>42636</v>
      </c>
      <c r="E12" s="5">
        <v>42799</v>
      </c>
      <c r="F12" s="5">
        <v>42820</v>
      </c>
      <c r="G12" s="5">
        <v>42841</v>
      </c>
      <c r="H12" s="5">
        <v>42850</v>
      </c>
      <c r="I12" s="5">
        <v>42882</v>
      </c>
      <c r="J12" s="5">
        <v>42892</v>
      </c>
      <c r="K12" s="5">
        <v>42925</v>
      </c>
      <c r="L12" s="5">
        <v>42940</v>
      </c>
      <c r="M12" s="7">
        <f t="shared" ref="M12:R12" si="21">E12-D12</f>
        <v>163</v>
      </c>
      <c r="N12" s="7">
        <f t="shared" si="21"/>
        <v>21</v>
      </c>
      <c r="O12" s="7">
        <f t="shared" si="21"/>
        <v>21</v>
      </c>
      <c r="P12" s="9">
        <f t="shared" si="21"/>
        <v>9</v>
      </c>
      <c r="Q12" s="7">
        <f t="shared" si="21"/>
        <v>32</v>
      </c>
      <c r="R12" s="7">
        <f t="shared" si="21"/>
        <v>10</v>
      </c>
      <c r="S12" s="7">
        <f t="shared" si="11"/>
        <v>33</v>
      </c>
      <c r="T12" s="7">
        <f t="shared" si="12"/>
        <v>15</v>
      </c>
      <c r="U12" s="7">
        <f t="shared" si="13"/>
        <v>304</v>
      </c>
      <c r="V12" s="10"/>
      <c r="W12" s="10" t="s">
        <v>21</v>
      </c>
      <c r="X12" s="10"/>
    </row>
    <row r="13" spans="1:24" ht="13.8" x14ac:dyDescent="0.25">
      <c r="A13" s="36">
        <v>12</v>
      </c>
      <c r="B13" s="18" t="s">
        <v>86</v>
      </c>
      <c r="C13" s="4">
        <v>2016</v>
      </c>
      <c r="D13" s="5">
        <v>42701</v>
      </c>
      <c r="E13" s="5">
        <v>42750</v>
      </c>
      <c r="F13" s="5">
        <v>42778</v>
      </c>
      <c r="G13" s="5">
        <v>42798</v>
      </c>
      <c r="H13" s="5">
        <v>42826</v>
      </c>
      <c r="I13" s="5">
        <v>42865</v>
      </c>
      <c r="J13" s="5">
        <v>42886</v>
      </c>
      <c r="K13" s="5">
        <v>42911</v>
      </c>
      <c r="L13" s="5">
        <v>42926</v>
      </c>
      <c r="M13" s="7">
        <f t="shared" ref="M13:R13" si="22">E13-D13</f>
        <v>49</v>
      </c>
      <c r="N13" s="7">
        <f t="shared" si="22"/>
        <v>28</v>
      </c>
      <c r="O13" s="7">
        <f t="shared" si="22"/>
        <v>20</v>
      </c>
      <c r="P13" s="9">
        <f t="shared" si="22"/>
        <v>28</v>
      </c>
      <c r="Q13" s="7">
        <f t="shared" si="22"/>
        <v>39</v>
      </c>
      <c r="R13" s="7">
        <f t="shared" si="22"/>
        <v>21</v>
      </c>
      <c r="S13" s="7">
        <f t="shared" si="11"/>
        <v>25</v>
      </c>
      <c r="T13" s="7">
        <f t="shared" si="12"/>
        <v>15</v>
      </c>
      <c r="U13" s="7">
        <f t="shared" si="13"/>
        <v>225</v>
      </c>
      <c r="V13" s="10"/>
      <c r="W13" s="10" t="s">
        <v>21</v>
      </c>
      <c r="X13" s="10"/>
    </row>
    <row r="14" spans="1:24" ht="13.8" x14ac:dyDescent="0.25">
      <c r="A14" s="35">
        <v>13</v>
      </c>
      <c r="B14" s="23" t="s">
        <v>88</v>
      </c>
      <c r="C14" s="20">
        <v>2016</v>
      </c>
      <c r="D14" s="21">
        <v>42662</v>
      </c>
      <c r="E14" s="21">
        <v>42777</v>
      </c>
      <c r="F14" s="21">
        <v>42809</v>
      </c>
      <c r="G14" s="21">
        <v>42827</v>
      </c>
      <c r="H14" s="21">
        <v>42860</v>
      </c>
      <c r="I14" s="21">
        <v>42877</v>
      </c>
      <c r="J14" s="21">
        <v>42884</v>
      </c>
      <c r="K14" s="21">
        <v>42909</v>
      </c>
      <c r="L14" s="21">
        <v>42939</v>
      </c>
      <c r="M14" s="7">
        <f t="shared" ref="M14:M18" si="23">E14-D14</f>
        <v>115</v>
      </c>
      <c r="N14" s="7">
        <f t="shared" ref="N14:N18" si="24">F14-E14</f>
        <v>32</v>
      </c>
      <c r="O14" s="7">
        <f t="shared" ref="O14:O18" si="25">G14-F14</f>
        <v>18</v>
      </c>
      <c r="P14" s="9">
        <f t="shared" ref="P14:P18" si="26">H14-G14</f>
        <v>33</v>
      </c>
      <c r="Q14" s="7">
        <f t="shared" ref="Q14:Q18" si="27">I14-H14</f>
        <v>17</v>
      </c>
      <c r="R14" s="7">
        <f t="shared" ref="R14:R18" si="28">J14-I14</f>
        <v>7</v>
      </c>
      <c r="S14" s="7">
        <f t="shared" ref="S14:S18" si="29">K14-J14</f>
        <v>25</v>
      </c>
      <c r="T14" s="7">
        <f t="shared" si="12"/>
        <v>30</v>
      </c>
      <c r="U14" s="7">
        <f t="shared" si="13"/>
        <v>277</v>
      </c>
    </row>
    <row r="15" spans="1:24" ht="13.8" x14ac:dyDescent="0.25">
      <c r="A15" s="35">
        <v>14</v>
      </c>
      <c r="B15" s="23" t="s">
        <v>89</v>
      </c>
      <c r="C15" s="20">
        <v>2016</v>
      </c>
      <c r="D15" s="21">
        <v>42642</v>
      </c>
      <c r="E15" s="21">
        <v>42771</v>
      </c>
      <c r="F15" s="21">
        <v>42797</v>
      </c>
      <c r="G15" s="21">
        <v>42826</v>
      </c>
      <c r="H15" s="21">
        <v>42856</v>
      </c>
      <c r="I15" s="21">
        <v>42878</v>
      </c>
      <c r="J15" s="21">
        <v>42889</v>
      </c>
      <c r="K15" s="21">
        <v>42918</v>
      </c>
      <c r="L15" s="21">
        <v>42937</v>
      </c>
      <c r="M15" s="7">
        <f t="shared" si="23"/>
        <v>129</v>
      </c>
      <c r="N15" s="7">
        <f t="shared" si="24"/>
        <v>26</v>
      </c>
      <c r="O15" s="7">
        <f t="shared" si="25"/>
        <v>29</v>
      </c>
      <c r="P15" s="9">
        <f t="shared" si="26"/>
        <v>30</v>
      </c>
      <c r="Q15" s="7">
        <f t="shared" si="27"/>
        <v>22</v>
      </c>
      <c r="R15" s="7">
        <f t="shared" si="28"/>
        <v>11</v>
      </c>
      <c r="S15" s="7">
        <f t="shared" si="29"/>
        <v>29</v>
      </c>
      <c r="T15" s="7">
        <f t="shared" si="12"/>
        <v>19</v>
      </c>
      <c r="U15" s="7">
        <f t="shared" si="13"/>
        <v>295</v>
      </c>
    </row>
    <row r="16" spans="1:24" ht="13.8" x14ac:dyDescent="0.25">
      <c r="A16" s="36">
        <v>15</v>
      </c>
      <c r="B16" s="23" t="s">
        <v>90</v>
      </c>
      <c r="C16" s="20">
        <v>2016</v>
      </c>
      <c r="D16" s="21">
        <v>42688</v>
      </c>
      <c r="E16" s="21">
        <v>42707</v>
      </c>
      <c r="F16" s="19" t="s">
        <v>84</v>
      </c>
      <c r="G16" s="21">
        <v>42773</v>
      </c>
      <c r="H16" s="21">
        <v>42807</v>
      </c>
      <c r="I16" s="21">
        <v>42858</v>
      </c>
      <c r="J16" s="21">
        <v>42872</v>
      </c>
      <c r="K16" s="21">
        <v>42890</v>
      </c>
      <c r="L16" s="21">
        <v>42908</v>
      </c>
      <c r="M16" s="7">
        <f t="shared" si="23"/>
        <v>19</v>
      </c>
      <c r="N16" s="7">
        <f t="shared" si="24"/>
        <v>60</v>
      </c>
      <c r="O16" s="7">
        <f t="shared" si="25"/>
        <v>6</v>
      </c>
      <c r="P16" s="9">
        <f t="shared" si="26"/>
        <v>34</v>
      </c>
      <c r="Q16" s="7">
        <f t="shared" si="27"/>
        <v>51</v>
      </c>
      <c r="R16" s="7">
        <f t="shared" si="28"/>
        <v>14</v>
      </c>
      <c r="S16" s="7">
        <f t="shared" si="29"/>
        <v>18</v>
      </c>
      <c r="T16" s="7">
        <f t="shared" si="12"/>
        <v>18</v>
      </c>
      <c r="U16" s="7">
        <f t="shared" si="13"/>
        <v>220</v>
      </c>
    </row>
    <row r="17" spans="1:21" ht="13.8" x14ac:dyDescent="0.25">
      <c r="A17" s="36">
        <v>16</v>
      </c>
      <c r="B17" s="23" t="s">
        <v>91</v>
      </c>
      <c r="C17" s="20">
        <v>2016</v>
      </c>
      <c r="D17" s="21">
        <v>42688</v>
      </c>
      <c r="E17" s="21">
        <v>42719</v>
      </c>
      <c r="F17" s="21">
        <v>42752</v>
      </c>
      <c r="G17" s="21">
        <v>42786</v>
      </c>
      <c r="H17" s="21">
        <v>42811</v>
      </c>
      <c r="I17" s="21">
        <v>42852</v>
      </c>
      <c r="J17" s="21">
        <v>42875</v>
      </c>
      <c r="K17" s="21">
        <v>42891</v>
      </c>
      <c r="L17" s="21">
        <v>42906</v>
      </c>
      <c r="M17" s="7">
        <f t="shared" si="23"/>
        <v>31</v>
      </c>
      <c r="N17" s="7">
        <f t="shared" si="24"/>
        <v>33</v>
      </c>
      <c r="O17" s="7">
        <f t="shared" si="25"/>
        <v>34</v>
      </c>
      <c r="P17" s="9">
        <f t="shared" si="26"/>
        <v>25</v>
      </c>
      <c r="Q17" s="7">
        <f t="shared" si="27"/>
        <v>41</v>
      </c>
      <c r="R17" s="7">
        <f t="shared" si="28"/>
        <v>23</v>
      </c>
      <c r="S17" s="7">
        <f t="shared" si="29"/>
        <v>16</v>
      </c>
      <c r="T17" s="7">
        <f t="shared" si="12"/>
        <v>15</v>
      </c>
      <c r="U17" s="7">
        <f t="shared" si="13"/>
        <v>218</v>
      </c>
    </row>
    <row r="18" spans="1:21" ht="13.8" x14ac:dyDescent="0.25">
      <c r="A18" s="35">
        <v>17</v>
      </c>
      <c r="B18" s="23" t="s">
        <v>92</v>
      </c>
      <c r="C18" s="20">
        <v>2013</v>
      </c>
      <c r="D18" s="21">
        <v>41528</v>
      </c>
      <c r="E18" s="21">
        <v>41634</v>
      </c>
      <c r="F18" s="21">
        <v>41642</v>
      </c>
      <c r="G18" s="21">
        <v>41668</v>
      </c>
      <c r="H18" s="21">
        <v>41709</v>
      </c>
      <c r="I18" s="21">
        <v>41745</v>
      </c>
      <c r="J18" s="21" t="s">
        <v>85</v>
      </c>
      <c r="K18" s="21">
        <v>41793</v>
      </c>
      <c r="L18" s="21">
        <v>41802</v>
      </c>
      <c r="M18" s="7">
        <f t="shared" si="23"/>
        <v>106</v>
      </c>
      <c r="N18" s="7">
        <f t="shared" si="24"/>
        <v>8</v>
      </c>
      <c r="O18" s="7">
        <f t="shared" si="25"/>
        <v>26</v>
      </c>
      <c r="P18" s="9">
        <f t="shared" si="26"/>
        <v>41</v>
      </c>
      <c r="Q18" s="7">
        <f t="shared" si="27"/>
        <v>36</v>
      </c>
      <c r="R18" s="7">
        <f t="shared" si="28"/>
        <v>19</v>
      </c>
      <c r="S18" s="7">
        <f t="shared" si="29"/>
        <v>29</v>
      </c>
      <c r="T18" s="7">
        <f t="shared" si="12"/>
        <v>9</v>
      </c>
      <c r="U18" s="7">
        <f t="shared" si="13"/>
        <v>274</v>
      </c>
    </row>
    <row r="19" spans="1:21" ht="14.4" x14ac:dyDescent="0.3">
      <c r="A19" s="35">
        <v>18</v>
      </c>
      <c r="B19" s="27" t="s">
        <v>92</v>
      </c>
      <c r="C19" s="24">
        <v>2016</v>
      </c>
      <c r="D19" s="26">
        <v>42703</v>
      </c>
      <c r="E19" s="26">
        <v>42730</v>
      </c>
      <c r="F19" s="26">
        <v>42751</v>
      </c>
      <c r="G19" s="26">
        <v>42783</v>
      </c>
      <c r="H19" s="26">
        <v>42814</v>
      </c>
      <c r="I19" s="26">
        <v>42853</v>
      </c>
      <c r="J19" s="26">
        <v>42872</v>
      </c>
      <c r="K19" s="26">
        <v>42887</v>
      </c>
      <c r="L19" s="25">
        <v>42898</v>
      </c>
      <c r="M19" s="7">
        <f t="shared" ref="M19" si="30">E19-D19</f>
        <v>27</v>
      </c>
      <c r="N19" s="7">
        <f t="shared" ref="N19" si="31">F19-E19</f>
        <v>21</v>
      </c>
      <c r="O19" s="7">
        <f t="shared" ref="O19" si="32">G19-F19</f>
        <v>32</v>
      </c>
      <c r="P19" s="9">
        <f t="shared" ref="P19" si="33">H19-G19</f>
        <v>31</v>
      </c>
      <c r="Q19" s="7">
        <f t="shared" ref="Q19" si="34">I19-H19</f>
        <v>39</v>
      </c>
      <c r="R19" s="7">
        <f t="shared" ref="R19" si="35">J19-I19</f>
        <v>19</v>
      </c>
      <c r="S19" s="7">
        <f t="shared" ref="S19" si="36">K19-J19</f>
        <v>15</v>
      </c>
      <c r="T19" s="7">
        <f t="shared" ref="T19" si="37">L19-K19</f>
        <v>11</v>
      </c>
      <c r="U19" s="7">
        <f t="shared" ref="U19" si="38">SUM(M19:T19)</f>
        <v>195</v>
      </c>
    </row>
    <row r="20" spans="1:21" ht="13.2" x14ac:dyDescent="0.25">
      <c r="A20" s="1"/>
      <c r="K20" s="28" t="s">
        <v>93</v>
      </c>
      <c r="M20" s="29"/>
    </row>
    <row r="21" spans="1:21" ht="14.25" customHeight="1" x14ac:dyDescent="0.25">
      <c r="A21" s="1"/>
    </row>
    <row r="22" spans="1:21" ht="13.2" x14ac:dyDescent="0.25">
      <c r="A22" s="1"/>
    </row>
    <row r="23" spans="1:21" ht="13.2" x14ac:dyDescent="0.25">
      <c r="A23" s="1"/>
    </row>
    <row r="24" spans="1:21" ht="13.2" x14ac:dyDescent="0.25">
      <c r="A24" s="1"/>
    </row>
    <row r="25" spans="1:21" ht="13.2" x14ac:dyDescent="0.25">
      <c r="A25" s="1"/>
    </row>
    <row r="26" spans="1:21" ht="13.2" x14ac:dyDescent="0.25">
      <c r="A26" s="1"/>
    </row>
    <row r="27" spans="1:21" ht="13.2" x14ac:dyDescent="0.25">
      <c r="A27" s="1"/>
    </row>
    <row r="28" spans="1:21" ht="13.2" x14ac:dyDescent="0.25">
      <c r="A28" s="1"/>
    </row>
    <row r="29" spans="1:21" ht="13.2" x14ac:dyDescent="0.25">
      <c r="A29" s="1"/>
    </row>
    <row r="30" spans="1:21" ht="13.2" x14ac:dyDescent="0.25"/>
    <row r="31" spans="1:21" ht="13.2" x14ac:dyDescent="0.25"/>
    <row r="32" spans="1:21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282CCA-D7AB-4070-B409-23D60D4C68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Ayda</dc:creator>
  <cp:lastModifiedBy>Can Keçeci</cp:lastModifiedBy>
  <dcterms:created xsi:type="dcterms:W3CDTF">2024-07-04T15:02:03Z</dcterms:created>
  <dcterms:modified xsi:type="dcterms:W3CDTF">2026-07-03T14:10:53Z</dcterms:modified>
</cp:coreProperties>
</file>