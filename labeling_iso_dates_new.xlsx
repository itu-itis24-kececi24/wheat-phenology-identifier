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SUS\Desktop\Ders\blg521\"/>
    </mc:Choice>
  </mc:AlternateContent>
  <xr:revisionPtr revIDLastSave="0" documentId="13_ncr:1_{48C041C7-6F7A-451D-BF3D-1EB9D157705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abel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1" l="1"/>
  <c r="N2" i="1"/>
  <c r="O2" i="1"/>
  <c r="P2" i="1"/>
  <c r="Q2" i="1"/>
  <c r="R2" i="1"/>
  <c r="S2" i="1"/>
  <c r="T2" i="1"/>
  <c r="M3" i="1"/>
  <c r="N3" i="1"/>
  <c r="O3" i="1"/>
  <c r="P3" i="1"/>
  <c r="Q3" i="1"/>
  <c r="R3" i="1"/>
  <c r="S3" i="1"/>
  <c r="T3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S4" i="1"/>
  <c r="R4" i="1"/>
  <c r="Q4" i="1"/>
  <c r="P4" i="1"/>
  <c r="O4" i="1"/>
  <c r="N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4" i="1"/>
  <c r="C9" i="1"/>
  <c r="T15" i="1" l="1"/>
  <c r="T11" i="1"/>
  <c r="T8" i="1"/>
  <c r="T9" i="1"/>
  <c r="T7" i="1"/>
  <c r="T18" i="1"/>
  <c r="T10" i="1"/>
  <c r="T19" i="1"/>
  <c r="T17" i="1"/>
  <c r="T16" i="1"/>
  <c r="T5" i="1"/>
  <c r="T12" i="1"/>
  <c r="T6" i="1"/>
  <c r="T4" i="1"/>
  <c r="T14" i="1"/>
  <c r="T13" i="1"/>
</calcChain>
</file>

<file path=xl/sharedStrings.xml><?xml version="1.0" encoding="utf-8"?>
<sst xmlns="http://schemas.openxmlformats.org/spreadsheetml/2006/main" count="55" uniqueCount="44">
  <si>
    <t>ID</t>
  </si>
  <si>
    <t>Station Code</t>
  </si>
  <si>
    <t>Year</t>
  </si>
  <si>
    <t>1-Ekim</t>
  </si>
  <si>
    <t>2 - Çıkış</t>
  </si>
  <si>
    <t>3 - Çimlenme</t>
  </si>
  <si>
    <t>4 - Kardeşlenme</t>
  </si>
  <si>
    <t>5 - Sapa Kalkma</t>
  </si>
  <si>
    <t>6 - Başaklanma</t>
  </si>
  <si>
    <t>7 - Çiçeklenme</t>
  </si>
  <si>
    <t>8 - Olgunlaşma</t>
  </si>
  <si>
    <t>9 - Hasat</t>
  </si>
  <si>
    <t>PS1 - Emergence</t>
  </si>
  <si>
    <t>PS2 - Floral Initiation</t>
  </si>
  <si>
    <t>PS3 - Terminal Spikelet</t>
  </si>
  <si>
    <t>PS4 - First Node</t>
  </si>
  <si>
    <t>PS5 - Heading</t>
  </si>
  <si>
    <t>PS6 - Anthesis</t>
  </si>
  <si>
    <t>PS7 - Maturity</t>
  </si>
  <si>
    <t>total</t>
  </si>
  <si>
    <t>kamera</t>
  </si>
  <si>
    <t>bitki</t>
  </si>
  <si>
    <t>saat/kamera - EKİM</t>
  </si>
  <si>
    <t>02.02</t>
  </si>
  <si>
    <t>bugday</t>
  </si>
  <si>
    <t>02.03</t>
  </si>
  <si>
    <t>02.04</t>
  </si>
  <si>
    <t>02.05</t>
  </si>
  <si>
    <t>02.06</t>
  </si>
  <si>
    <t>Buğday</t>
  </si>
  <si>
    <t>k2</t>
  </si>
  <si>
    <t>06.01</t>
  </si>
  <si>
    <t>k1</t>
  </si>
  <si>
    <t>06.02</t>
  </si>
  <si>
    <t>11.03</t>
  </si>
  <si>
    <t>26.11</t>
  </si>
  <si>
    <t>26.12</t>
  </si>
  <si>
    <t>27.02</t>
  </si>
  <si>
    <t>27.04</t>
  </si>
  <si>
    <t>27.05</t>
  </si>
  <si>
    <t>yorumlar</t>
  </si>
  <si>
    <t>fotoğraflar iyi değil</t>
  </si>
  <si>
    <t>1.01</t>
  </si>
  <si>
    <t>1.05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</si>
</sst>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;@"/>
  </numFmts>
  <fonts count="11" x14ac:knownFonts="1">
    <font>
      <sz val="10"/>
      <color rgb="FF000000"/>
      <name val="Arial"/>
    </font>
    <font>
      <sz val="11"/>
      <color rgb="FF000000"/>
      <name val="Calibri"/>
    </font>
    <font>
      <b/>
      <sz val="11"/>
      <color theme="1"/>
      <name val="Calibri"/>
    </font>
    <font>
      <b/>
      <sz val="11"/>
      <color rgb="FF000000"/>
      <name val="Calibri"/>
    </font>
    <font>
      <sz val="11"/>
      <color rgb="FF9C5700"/>
      <name val="Arial"/>
    </font>
    <font>
      <b/>
      <sz val="11"/>
      <color rgb="FFFA7D00"/>
      <name val="Arial"/>
    </font>
    <font>
      <b/>
      <sz val="11"/>
      <color rgb="FFFA7D00"/>
      <name val="Arial"/>
    </font>
    <font>
      <sz val="11"/>
      <color theme="1"/>
      <name val="Calibri"/>
    </font>
    <font>
      <sz val="10"/>
      <color rgb="FF000000"/>
      <name val="Arial"/>
    </font>
    <font>
      <sz val="11"/>
      <color rgb="FF000000"/>
      <name val="Calibri"/>
    </font>
    <font>
      <sz val="8"/>
      <name val="Arial"/>
    </font>
  </fonts>
  <fills count="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1A3FF"/>
      </patternFill>
    </fill>
    <fill>
      <patternFill patternType="solid">
        <fgColor rgb="FFF2F2F2"/>
      </patternFill>
    </fill>
    <fill>
      <patternFill patternType="solid">
        <fgColor rgb="FFFCE5CD"/>
      </patternFill>
    </fill>
    <fill>
      <patternFill patternType="solid">
        <fgColor rgb="FFF3F3F3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0" fontId="4" fillId="2" borderId="0" applyNumberFormat="0" applyBorder="0" applyAlignment="0" applyProtection="0"/>
    <xf numFmtId="0" fontId="8" fillId="0" borderId="0"/>
  </cellStyleXfs>
  <cellXfs count="33">
    <xf numFmtId="0" fontId="0" fillId="0" borderId="0" xfId="0"/>
    <xf numFmtId="0" fontId="0" fillId="0" borderId="1" xfId="0" applyBorder="1"/>
    <xf numFmtId="2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2" borderId="1" xfId="1" applyBorder="1" applyAlignment="1">
      <alignment horizontal="center" vertical="center"/>
    </xf>
    <xf numFmtId="1" fontId="4" fillId="2" borderId="1" xfId="1" applyNumberFormat="1" applyBorder="1"/>
    <xf numFmtId="0" fontId="0" fillId="0" borderId="1" xfId="0" applyBorder="1" applyAlignment="1">
      <alignment horizontal="center" vertical="center"/>
    </xf>
    <xf numFmtId="1" fontId="4" fillId="2" borderId="2" xfId="1" applyNumberFormat="1" applyBorder="1"/>
    <xf numFmtId="0" fontId="4" fillId="2" borderId="1" xfId="1" applyBorder="1"/>
    <xf numFmtId="0" fontId="1" fillId="0" borderId="1" xfId="0" applyFont="1" applyBorder="1" applyAlignment="1">
      <alignment horizontal="center" vertical="center" wrapText="1"/>
    </xf>
    <xf numFmtId="0" fontId="4" fillId="2" borderId="1" xfId="1" applyBorder="1" applyAlignment="1"/>
    <xf numFmtId="14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 wrapText="1"/>
    </xf>
    <xf numFmtId="49" fontId="3" fillId="4" borderId="2" xfId="0" applyNumberFormat="1" applyFont="1" applyFill="1" applyBorder="1" applyAlignment="1">
      <alignment horizontal="center" vertical="center" wrapText="1"/>
    </xf>
    <xf numFmtId="49" fontId="3" fillId="4" borderId="1" xfId="0" applyNumberFormat="1" applyFont="1" applyFill="1" applyBorder="1" applyAlignment="1">
      <alignment horizontal="center" vertical="center"/>
    </xf>
    <xf numFmtId="49" fontId="4" fillId="2" borderId="1" xfId="1" applyNumberFormat="1" applyBorder="1" applyAlignment="1">
      <alignment horizontal="left"/>
    </xf>
    <xf numFmtId="0" fontId="5" fillId="5" borderId="3" xfId="0" applyFont="1" applyFill="1" applyBorder="1" applyAlignment="1">
      <alignment horizontal="center" vertical="center"/>
    </xf>
    <xf numFmtId="2" fontId="6" fillId="5" borderId="3" xfId="0" applyNumberFormat="1" applyFont="1" applyFill="1" applyBorder="1" applyAlignment="1">
      <alignment horizontal="left"/>
    </xf>
    <xf numFmtId="0" fontId="9" fillId="0" borderId="0" xfId="2" applyFont="1" applyAlignment="1">
      <alignment horizontal="center" vertical="center"/>
    </xf>
    <xf numFmtId="2" fontId="7" fillId="6" borderId="0" xfId="2" applyNumberFormat="1" applyFont="1" applyFill="1" applyAlignment="1">
      <alignment horizontal="left"/>
    </xf>
    <xf numFmtId="0" fontId="8" fillId="0" borderId="0" xfId="0" applyFont="1"/>
    <xf numFmtId="49" fontId="0" fillId="0" borderId="0" xfId="0" applyNumberFormat="1"/>
    <xf numFmtId="164" fontId="4" fillId="2" borderId="1" xfId="0" applyNumberFormat="1" applyFont="1" applyFill="1" applyBorder="1" applyAlignment="1">
      <alignment horizontal="center"/>
    </xf>
    <xf numFmtId="164" fontId="5" fillId="5" borderId="3" xfId="0" applyNumberFormat="1" applyFont="1" applyFill="1" applyBorder="1" applyAlignment="1">
      <alignment horizontal="center"/>
    </xf>
    <xf numFmtId="164" fontId="7" fillId="7" borderId="0" xfId="0" applyNumberFormat="1" applyFont="1" applyFill="1" applyAlignment="1">
      <alignment horizontal="center"/>
    </xf>
    <xf numFmtId="164" fontId="7" fillId="0" borderId="0" xfId="0" applyNumberFormat="1" applyFont="1" applyAlignment="1">
      <alignment horizontal="center"/>
    </xf>
    <xf numFmtId="2" fontId="1" fillId="0" borderId="1" xfId="0" quotePrefix="1" applyNumberFormat="1" applyFont="1" applyBorder="1" applyAlignment="1">
      <alignment horizontal="center" vertical="center"/>
    </xf>
    <xf numFmtId="165" fontId="2" fillId="3" borderId="1" xfId="0" quotePrefix="1" applyNumberFormat="1" applyFont="1" applyFill="1" applyBorder="1" applyAlignment="1">
      <alignment horizontal="center" vertical="center"/>
    </xf>
    <xf numFmtId="165" fontId="2" fillId="3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165" fontId="3" fillId="4" borderId="1" xfId="0" applyNumberFormat="1" applyFont="1" applyFill="1" applyBorder="1" applyAlignment="1">
      <alignment horizontal="center" vertical="center" wrapText="1"/>
    </xf>
    <xf numFmtId="165" fontId="3" fillId="4" borderId="2" xfId="0" applyNumberFormat="1" applyFont="1" applyFill="1" applyBorder="1" applyAlignment="1">
      <alignment horizontal="center" vertical="center" wrapText="1"/>
    </xf>
  </cellXfs>
  <cellStyles count="3">
    <cellStyle name="Normal" xfId="0" builtinId="0"/>
    <cellStyle name="Normal 2" xfId="2" xr:uid="{00000000-0005-0000-0000-000001000000}"/>
    <cellStyle name="Nötr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9"/>
  <sheetViews>
    <sheetView tabSelected="1" workbookViewId="0">
      <selection activeCell="K20" sqref="K20"/>
    </sheetView>
  </sheetViews>
  <sheetFormatPr defaultColWidth="12.6640625" defaultRowHeight="13.2" x14ac:dyDescent="0.25"/>
  <cols>
    <col min="1" max="1" width="3" customWidth="1"/>
    <col min="2" max="2" width="12.109375" customWidth="1"/>
    <col min="3" max="3" width="11.6640625" customWidth="1"/>
    <col min="4" max="4" width="12.88671875" customWidth="1"/>
    <col min="5" max="5" width="12.5546875" customWidth="1"/>
    <col min="6" max="6" width="13.21875" customWidth="1"/>
    <col min="7" max="7" width="15.44140625" customWidth="1"/>
    <col min="8" max="8" width="16.44140625" customWidth="1"/>
    <col min="9" max="9" width="15.5546875" customWidth="1"/>
    <col min="10" max="10" width="15.88671875" customWidth="1"/>
    <col min="11" max="11" width="16.5546875" customWidth="1"/>
    <col min="12" max="12" width="14.33203125" customWidth="1"/>
    <col min="13" max="13" width="10.88671875" customWidth="1"/>
    <col min="14" max="14" width="10.77734375" customWidth="1"/>
    <col min="15" max="15" width="13.6640625" customWidth="1"/>
    <col min="16" max="16" width="9.77734375" customWidth="1"/>
    <col min="17" max="17" width="13.21875" customWidth="1"/>
    <col min="18" max="18" width="8.6640625" customWidth="1"/>
    <col min="19" max="19" width="8.77734375" customWidth="1"/>
    <col min="20" max="20" width="5.21875" customWidth="1"/>
    <col min="21" max="21" width="7.5546875" customWidth="1"/>
    <col min="22" max="22" width="8" customWidth="1"/>
    <col min="23" max="23" width="13.21875" customWidth="1"/>
  </cols>
  <sheetData>
    <row r="1" spans="1:24" ht="28.8" x14ac:dyDescent="0.25">
      <c r="A1" s="6" t="s">
        <v>0</v>
      </c>
      <c r="B1" s="2" t="s">
        <v>1</v>
      </c>
      <c r="C1" s="3" t="s">
        <v>2</v>
      </c>
      <c r="D1" s="11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3" t="s">
        <v>12</v>
      </c>
      <c r="N1" s="13" t="s">
        <v>13</v>
      </c>
      <c r="O1" s="13" t="s">
        <v>14</v>
      </c>
      <c r="P1" s="14" t="s">
        <v>15</v>
      </c>
      <c r="Q1" s="13" t="s">
        <v>16</v>
      </c>
      <c r="R1" s="13" t="s">
        <v>17</v>
      </c>
      <c r="S1" s="13" t="s">
        <v>18</v>
      </c>
      <c r="T1" s="15" t="s">
        <v>19</v>
      </c>
      <c r="U1" s="3" t="s">
        <v>20</v>
      </c>
      <c r="V1" s="3" t="s">
        <v>21</v>
      </c>
      <c r="W1" s="9" t="s">
        <v>22</v>
      </c>
      <c r="X1" t="s">
        <v>40</v>
      </c>
    </row>
    <row r="2" spans="1:24" ht="14.4" x14ac:dyDescent="0.25">
      <c r="A2" s="30">
        <v>1</v>
      </c>
      <c r="B2" s="27" t="s">
        <v>42</v>
      </c>
      <c r="C2" s="12">
        <v>2014</v>
      </c>
      <c r="D2" s="28">
        <v>41978</v>
      </c>
      <c r="E2" s="29">
        <v>41989</v>
      </c>
      <c r="F2" s="29">
        <v>42001</v>
      </c>
      <c r="G2" s="29">
        <v>42011</v>
      </c>
      <c r="H2" s="29">
        <v>42065</v>
      </c>
      <c r="I2" s="31">
        <v>42095</v>
      </c>
      <c r="J2" s="31">
        <v>42106</v>
      </c>
      <c r="K2" s="31">
        <v>42141</v>
      </c>
      <c r="L2" s="32">
        <v>42165</v>
      </c>
      <c r="M2" s="5">
        <f t="shared" ref="M2:M3" si="0">F2-E2</f>
        <v>12</v>
      </c>
      <c r="N2" s="5">
        <f t="shared" ref="N2:N3" si="1">G2-F2</f>
        <v>10</v>
      </c>
      <c r="O2" s="5">
        <f t="shared" ref="O2:O3" si="2">H2-G2</f>
        <v>54</v>
      </c>
      <c r="P2" s="7">
        <f t="shared" ref="P2:P3" si="3">I2-H2</f>
        <v>30</v>
      </c>
      <c r="Q2" s="5">
        <f t="shared" ref="Q2:Q3" si="4">J2-I2</f>
        <v>11</v>
      </c>
      <c r="R2" s="5">
        <f t="shared" ref="R2:R3" si="5">K2-J2</f>
        <v>35</v>
      </c>
      <c r="S2" s="5">
        <f t="shared" ref="S2:S3" si="6">L2-K2</f>
        <v>24</v>
      </c>
      <c r="T2" s="5">
        <f t="shared" ref="T2:T3" si="7">SUM(M2:S2)</f>
        <v>176</v>
      </c>
      <c r="U2" s="3">
        <v>1</v>
      </c>
      <c r="V2" s="3"/>
      <c r="W2" s="9"/>
    </row>
    <row r="3" spans="1:24" ht="14.4" x14ac:dyDescent="0.25">
      <c r="A3" s="30">
        <v>2</v>
      </c>
      <c r="B3" s="27" t="s">
        <v>43</v>
      </c>
      <c r="C3" s="12">
        <v>2016</v>
      </c>
      <c r="D3" s="29">
        <v>42690</v>
      </c>
      <c r="E3" s="29">
        <v>42726</v>
      </c>
      <c r="F3" s="29">
        <v>42739</v>
      </c>
      <c r="G3" s="29">
        <v>42752</v>
      </c>
      <c r="H3" s="29">
        <v>42800</v>
      </c>
      <c r="I3" s="31">
        <v>42833</v>
      </c>
      <c r="J3" s="31">
        <v>42844</v>
      </c>
      <c r="K3" s="31">
        <v>42873</v>
      </c>
      <c r="L3" s="32">
        <v>42894</v>
      </c>
      <c r="M3" s="5">
        <f t="shared" si="0"/>
        <v>13</v>
      </c>
      <c r="N3" s="5">
        <f t="shared" si="1"/>
        <v>13</v>
      </c>
      <c r="O3" s="5">
        <f t="shared" si="2"/>
        <v>48</v>
      </c>
      <c r="P3" s="7">
        <f t="shared" si="3"/>
        <v>33</v>
      </c>
      <c r="Q3" s="5">
        <f t="shared" si="4"/>
        <v>11</v>
      </c>
      <c r="R3" s="5">
        <f t="shared" si="5"/>
        <v>29</v>
      </c>
      <c r="S3" s="5">
        <f t="shared" si="6"/>
        <v>21</v>
      </c>
      <c r="T3" s="5">
        <f t="shared" si="7"/>
        <v>168</v>
      </c>
      <c r="U3" s="3">
        <v>2</v>
      </c>
      <c r="V3" s="3"/>
      <c r="W3" s="9"/>
    </row>
    <row r="4" spans="1:24" ht="13.8" x14ac:dyDescent="0.25">
      <c r="A4" s="1">
        <v>3</v>
      </c>
      <c r="B4" s="16" t="s">
        <v>23</v>
      </c>
      <c r="C4" s="4">
        <v>2014</v>
      </c>
      <c r="D4" s="23">
        <v>41975</v>
      </c>
      <c r="E4" s="23">
        <v>41997</v>
      </c>
      <c r="F4" s="23">
        <v>42017</v>
      </c>
      <c r="G4" s="23">
        <v>42054</v>
      </c>
      <c r="H4" s="23">
        <v>42069</v>
      </c>
      <c r="I4" s="23">
        <v>42125</v>
      </c>
      <c r="J4" s="23">
        <v>42141</v>
      </c>
      <c r="K4" s="23">
        <v>42152</v>
      </c>
      <c r="L4" s="23">
        <v>42187</v>
      </c>
      <c r="M4" s="5">
        <f t="shared" ref="M4:S4" si="8">F4-E4</f>
        <v>20</v>
      </c>
      <c r="N4" s="5">
        <f t="shared" si="8"/>
        <v>37</v>
      </c>
      <c r="O4" s="5">
        <f t="shared" si="8"/>
        <v>15</v>
      </c>
      <c r="P4" s="7">
        <f t="shared" si="8"/>
        <v>56</v>
      </c>
      <c r="Q4" s="5">
        <f t="shared" si="8"/>
        <v>16</v>
      </c>
      <c r="R4" s="5">
        <f t="shared" si="8"/>
        <v>11</v>
      </c>
      <c r="S4" s="5">
        <f t="shared" si="8"/>
        <v>35</v>
      </c>
      <c r="T4" s="5">
        <f t="shared" ref="T4:T19" si="9">SUM(M4:S4)</f>
        <v>190</v>
      </c>
      <c r="U4" s="8">
        <v>1</v>
      </c>
      <c r="V4" s="8" t="s">
        <v>24</v>
      </c>
      <c r="W4" s="8"/>
    </row>
    <row r="5" spans="1:24" ht="13.8" x14ac:dyDescent="0.25">
      <c r="A5" s="30">
        <v>4</v>
      </c>
      <c r="B5" s="16" t="s">
        <v>25</v>
      </c>
      <c r="C5" s="4">
        <v>2013</v>
      </c>
      <c r="D5" s="23">
        <v>41581</v>
      </c>
      <c r="E5" s="23">
        <v>41595</v>
      </c>
      <c r="F5" s="23">
        <v>41646</v>
      </c>
      <c r="G5" s="23">
        <v>41670</v>
      </c>
      <c r="H5" s="23">
        <v>41705</v>
      </c>
      <c r="I5" s="23">
        <v>41741</v>
      </c>
      <c r="J5" s="23">
        <v>41750</v>
      </c>
      <c r="K5" s="23">
        <v>41771</v>
      </c>
      <c r="L5" s="23">
        <v>41802</v>
      </c>
      <c r="M5" s="5">
        <f t="shared" ref="M5:M19" si="10">F5-E5</f>
        <v>51</v>
      </c>
      <c r="N5" s="5">
        <f t="shared" ref="N5:N19" si="11">G5-F5</f>
        <v>24</v>
      </c>
      <c r="O5" s="5">
        <f t="shared" ref="O5:O19" si="12">H5-G5</f>
        <v>35</v>
      </c>
      <c r="P5" s="7">
        <f t="shared" ref="P5:P19" si="13">I5-H5</f>
        <v>36</v>
      </c>
      <c r="Q5" s="5">
        <f t="shared" ref="Q5:Q19" si="14">J5-I5</f>
        <v>9</v>
      </c>
      <c r="R5" s="5">
        <f t="shared" ref="R5:R19" si="15">K5-J5</f>
        <v>21</v>
      </c>
      <c r="S5" s="5">
        <f t="shared" ref="S5:S19" si="16">L5-K5</f>
        <v>31</v>
      </c>
      <c r="T5" s="5">
        <f t="shared" si="9"/>
        <v>207</v>
      </c>
      <c r="U5" s="8">
        <v>1</v>
      </c>
      <c r="V5" s="8" t="s">
        <v>24</v>
      </c>
      <c r="W5" s="8"/>
    </row>
    <row r="6" spans="1:24" ht="13.8" x14ac:dyDescent="0.25">
      <c r="A6" s="30">
        <v>5</v>
      </c>
      <c r="B6" s="16" t="s">
        <v>25</v>
      </c>
      <c r="C6" s="4">
        <v>2014</v>
      </c>
      <c r="D6" s="23">
        <v>41958</v>
      </c>
      <c r="E6" s="23">
        <v>41978</v>
      </c>
      <c r="F6" s="23">
        <v>42000</v>
      </c>
      <c r="G6" s="23">
        <v>42029</v>
      </c>
      <c r="H6" s="23">
        <v>42083</v>
      </c>
      <c r="I6" s="23">
        <v>42113</v>
      </c>
      <c r="J6" s="23">
        <v>42133</v>
      </c>
      <c r="K6" s="23">
        <v>42146</v>
      </c>
      <c r="L6" s="23">
        <v>42168</v>
      </c>
      <c r="M6" s="5">
        <f t="shared" si="10"/>
        <v>22</v>
      </c>
      <c r="N6" s="5">
        <f t="shared" si="11"/>
        <v>29</v>
      </c>
      <c r="O6" s="5">
        <f t="shared" si="12"/>
        <v>54</v>
      </c>
      <c r="P6" s="7">
        <f t="shared" si="13"/>
        <v>30</v>
      </c>
      <c r="Q6" s="5">
        <f t="shared" si="14"/>
        <v>20</v>
      </c>
      <c r="R6" s="5">
        <f t="shared" si="15"/>
        <v>13</v>
      </c>
      <c r="S6" s="5">
        <f t="shared" si="16"/>
        <v>22</v>
      </c>
      <c r="T6" s="5">
        <f t="shared" si="9"/>
        <v>190</v>
      </c>
      <c r="U6" s="8">
        <v>1</v>
      </c>
      <c r="V6" s="8" t="s">
        <v>24</v>
      </c>
      <c r="W6" s="8"/>
    </row>
    <row r="7" spans="1:24" ht="13.8" x14ac:dyDescent="0.25">
      <c r="A7" s="1">
        <v>6</v>
      </c>
      <c r="B7" s="16" t="s">
        <v>26</v>
      </c>
      <c r="C7" s="4">
        <v>2013</v>
      </c>
      <c r="D7" s="23">
        <v>41602</v>
      </c>
      <c r="E7" s="23">
        <v>41623</v>
      </c>
      <c r="F7" s="23">
        <v>41667</v>
      </c>
      <c r="G7" s="23">
        <v>41685</v>
      </c>
      <c r="H7" s="23">
        <v>41704</v>
      </c>
      <c r="I7" s="23">
        <v>41749</v>
      </c>
      <c r="J7" s="23">
        <v>41764</v>
      </c>
      <c r="K7" s="23">
        <v>41777</v>
      </c>
      <c r="L7" s="23">
        <v>41807</v>
      </c>
      <c r="M7" s="5">
        <f t="shared" si="10"/>
        <v>44</v>
      </c>
      <c r="N7" s="5">
        <f t="shared" si="11"/>
        <v>18</v>
      </c>
      <c r="O7" s="5">
        <f t="shared" si="12"/>
        <v>19</v>
      </c>
      <c r="P7" s="7">
        <f t="shared" si="13"/>
        <v>45</v>
      </c>
      <c r="Q7" s="5">
        <f t="shared" si="14"/>
        <v>15</v>
      </c>
      <c r="R7" s="5">
        <f t="shared" si="15"/>
        <v>13</v>
      </c>
      <c r="S7" s="5">
        <f t="shared" si="16"/>
        <v>30</v>
      </c>
      <c r="T7" s="5">
        <f t="shared" si="9"/>
        <v>184</v>
      </c>
      <c r="U7" s="8">
        <v>1</v>
      </c>
      <c r="V7" s="8" t="s">
        <v>24</v>
      </c>
      <c r="W7" s="8"/>
    </row>
    <row r="8" spans="1:24" ht="13.8" x14ac:dyDescent="0.25">
      <c r="A8" s="30">
        <v>7</v>
      </c>
      <c r="B8" s="16" t="s">
        <v>27</v>
      </c>
      <c r="C8" s="4">
        <v>2013</v>
      </c>
      <c r="D8" s="23">
        <v>41593</v>
      </c>
      <c r="E8" s="23">
        <v>41633</v>
      </c>
      <c r="F8" s="23">
        <v>41651</v>
      </c>
      <c r="G8" s="23">
        <v>41678</v>
      </c>
      <c r="H8" s="23">
        <v>41704</v>
      </c>
      <c r="I8" s="23">
        <v>41749</v>
      </c>
      <c r="J8" s="23">
        <v>41757</v>
      </c>
      <c r="K8" s="23">
        <v>41779</v>
      </c>
      <c r="L8" s="23">
        <v>41814</v>
      </c>
      <c r="M8" s="5">
        <f t="shared" si="10"/>
        <v>18</v>
      </c>
      <c r="N8" s="5">
        <f t="shared" si="11"/>
        <v>27</v>
      </c>
      <c r="O8" s="5">
        <f t="shared" si="12"/>
        <v>26</v>
      </c>
      <c r="P8" s="7">
        <f t="shared" si="13"/>
        <v>45</v>
      </c>
      <c r="Q8" s="5">
        <f t="shared" si="14"/>
        <v>8</v>
      </c>
      <c r="R8" s="5">
        <f t="shared" si="15"/>
        <v>22</v>
      </c>
      <c r="S8" s="5">
        <f t="shared" si="16"/>
        <v>35</v>
      </c>
      <c r="T8" s="5">
        <f t="shared" si="9"/>
        <v>181</v>
      </c>
      <c r="U8" s="8">
        <v>1</v>
      </c>
      <c r="V8" s="8" t="s">
        <v>24</v>
      </c>
      <c r="W8" s="8"/>
    </row>
    <row r="9" spans="1:24" ht="13.8" x14ac:dyDescent="0.25">
      <c r="A9" s="30">
        <v>8</v>
      </c>
      <c r="B9" s="16" t="s">
        <v>28</v>
      </c>
      <c r="C9" s="4">
        <f t="shared" ref="C9" si="17">YEAR(D9)</f>
        <v>2016</v>
      </c>
      <c r="D9" s="23">
        <v>42686</v>
      </c>
      <c r="E9" s="23">
        <v>42711</v>
      </c>
      <c r="F9" s="23">
        <v>42745</v>
      </c>
      <c r="G9" s="23">
        <v>42781</v>
      </c>
      <c r="H9" s="23">
        <v>42810</v>
      </c>
      <c r="I9" s="23">
        <v>42857</v>
      </c>
      <c r="J9" s="23">
        <v>42871</v>
      </c>
      <c r="K9" s="23">
        <v>42891</v>
      </c>
      <c r="L9" s="23">
        <v>42906</v>
      </c>
      <c r="M9" s="5">
        <f t="shared" si="10"/>
        <v>34</v>
      </c>
      <c r="N9" s="5">
        <f t="shared" si="11"/>
        <v>36</v>
      </c>
      <c r="O9" s="5">
        <f t="shared" si="12"/>
        <v>29</v>
      </c>
      <c r="P9" s="7">
        <f t="shared" si="13"/>
        <v>47</v>
      </c>
      <c r="Q9" s="5">
        <f t="shared" si="14"/>
        <v>14</v>
      </c>
      <c r="R9" s="5">
        <f t="shared" si="15"/>
        <v>20</v>
      </c>
      <c r="S9" s="5">
        <f t="shared" si="16"/>
        <v>15</v>
      </c>
      <c r="T9" s="5">
        <f t="shared" si="9"/>
        <v>195</v>
      </c>
      <c r="U9" s="8">
        <v>2</v>
      </c>
      <c r="V9" s="8" t="s">
        <v>29</v>
      </c>
      <c r="W9" s="10" t="s">
        <v>30</v>
      </c>
    </row>
    <row r="10" spans="1:24" ht="13.8" x14ac:dyDescent="0.25">
      <c r="A10" s="1">
        <v>9</v>
      </c>
      <c r="B10" s="16" t="s">
        <v>31</v>
      </c>
      <c r="C10" s="4">
        <v>2013</v>
      </c>
      <c r="D10" s="23">
        <v>41592</v>
      </c>
      <c r="E10" s="23">
        <v>41705</v>
      </c>
      <c r="F10" s="23">
        <v>41730</v>
      </c>
      <c r="G10" s="23">
        <v>41745</v>
      </c>
      <c r="H10" s="23">
        <v>41751</v>
      </c>
      <c r="I10" s="23">
        <v>41780</v>
      </c>
      <c r="J10" s="23">
        <v>41803</v>
      </c>
      <c r="K10" s="23">
        <v>41815</v>
      </c>
      <c r="L10" s="23">
        <v>41842</v>
      </c>
      <c r="M10" s="5">
        <f t="shared" si="10"/>
        <v>25</v>
      </c>
      <c r="N10" s="5">
        <f t="shared" si="11"/>
        <v>15</v>
      </c>
      <c r="O10" s="5">
        <f t="shared" si="12"/>
        <v>6</v>
      </c>
      <c r="P10" s="7">
        <f t="shared" si="13"/>
        <v>29</v>
      </c>
      <c r="Q10" s="5">
        <f t="shared" si="14"/>
        <v>23</v>
      </c>
      <c r="R10" s="5">
        <f t="shared" si="15"/>
        <v>12</v>
      </c>
      <c r="S10" s="5">
        <f t="shared" si="16"/>
        <v>27</v>
      </c>
      <c r="T10" s="5">
        <f t="shared" si="9"/>
        <v>137</v>
      </c>
      <c r="U10" s="8">
        <v>1</v>
      </c>
      <c r="V10" s="8" t="s">
        <v>24</v>
      </c>
      <c r="W10" s="10" t="s">
        <v>32</v>
      </c>
    </row>
    <row r="11" spans="1:24" ht="13.8" x14ac:dyDescent="0.25">
      <c r="A11" s="30">
        <v>10</v>
      </c>
      <c r="B11" s="16" t="s">
        <v>33</v>
      </c>
      <c r="C11" s="4">
        <v>2013</v>
      </c>
      <c r="D11" s="23">
        <v>41627</v>
      </c>
      <c r="E11" s="23">
        <v>41682</v>
      </c>
      <c r="F11" s="23">
        <v>41698</v>
      </c>
      <c r="G11" s="23">
        <v>41723</v>
      </c>
      <c r="H11" s="23">
        <v>41741</v>
      </c>
      <c r="I11" s="23">
        <v>41785</v>
      </c>
      <c r="J11" s="23">
        <v>41806</v>
      </c>
      <c r="K11" s="23">
        <v>41824</v>
      </c>
      <c r="L11" s="23">
        <v>41844</v>
      </c>
      <c r="M11" s="5">
        <f t="shared" si="10"/>
        <v>16</v>
      </c>
      <c r="N11" s="5">
        <f t="shared" si="11"/>
        <v>25</v>
      </c>
      <c r="O11" s="5">
        <f t="shared" si="12"/>
        <v>18</v>
      </c>
      <c r="P11" s="7">
        <f t="shared" si="13"/>
        <v>44</v>
      </c>
      <c r="Q11" s="5">
        <f t="shared" si="14"/>
        <v>21</v>
      </c>
      <c r="R11" s="5">
        <f t="shared" si="15"/>
        <v>18</v>
      </c>
      <c r="S11" s="5">
        <f t="shared" si="16"/>
        <v>20</v>
      </c>
      <c r="T11" s="5">
        <f t="shared" si="9"/>
        <v>162</v>
      </c>
      <c r="U11" s="8">
        <v>1</v>
      </c>
      <c r="V11" s="8" t="s">
        <v>24</v>
      </c>
      <c r="W11" s="8"/>
    </row>
    <row r="12" spans="1:24" ht="13.8" x14ac:dyDescent="0.25">
      <c r="A12" s="30">
        <v>11</v>
      </c>
      <c r="B12" s="16" t="s">
        <v>33</v>
      </c>
      <c r="C12" s="4">
        <v>2016</v>
      </c>
      <c r="D12" s="23">
        <v>42636</v>
      </c>
      <c r="E12" s="23">
        <v>42799</v>
      </c>
      <c r="F12" s="23">
        <v>42820</v>
      </c>
      <c r="G12" s="23">
        <v>42841</v>
      </c>
      <c r="H12" s="23">
        <v>42850</v>
      </c>
      <c r="I12" s="23">
        <v>42882</v>
      </c>
      <c r="J12" s="23">
        <v>42892</v>
      </c>
      <c r="K12" s="23">
        <v>42925</v>
      </c>
      <c r="L12" s="23">
        <v>42940</v>
      </c>
      <c r="M12" s="5">
        <f t="shared" si="10"/>
        <v>21</v>
      </c>
      <c r="N12" s="5">
        <f t="shared" si="11"/>
        <v>21</v>
      </c>
      <c r="O12" s="5">
        <f t="shared" si="12"/>
        <v>9</v>
      </c>
      <c r="P12" s="7">
        <f t="shared" si="13"/>
        <v>32</v>
      </c>
      <c r="Q12" s="5">
        <f t="shared" si="14"/>
        <v>10</v>
      </c>
      <c r="R12" s="5">
        <f t="shared" si="15"/>
        <v>33</v>
      </c>
      <c r="S12" s="5">
        <f t="shared" si="16"/>
        <v>15</v>
      </c>
      <c r="T12" s="5">
        <f t="shared" si="9"/>
        <v>141</v>
      </c>
      <c r="U12" s="8"/>
      <c r="V12" s="8" t="s">
        <v>29</v>
      </c>
      <c r="W12" s="8"/>
      <c r="X12" t="s">
        <v>41</v>
      </c>
    </row>
    <row r="13" spans="1:24" ht="13.8" x14ac:dyDescent="0.25">
      <c r="A13" s="1">
        <v>12</v>
      </c>
      <c r="B13" s="16" t="s">
        <v>34</v>
      </c>
      <c r="C13" s="4">
        <v>2016</v>
      </c>
      <c r="D13" s="23">
        <v>42701</v>
      </c>
      <c r="E13" s="23">
        <v>42750</v>
      </c>
      <c r="F13" s="23">
        <v>42778</v>
      </c>
      <c r="G13" s="23">
        <v>42798</v>
      </c>
      <c r="H13" s="23">
        <v>42826</v>
      </c>
      <c r="I13" s="23">
        <v>42865</v>
      </c>
      <c r="J13" s="23">
        <v>42886</v>
      </c>
      <c r="K13" s="23">
        <v>42911</v>
      </c>
      <c r="L13" s="23">
        <v>42926</v>
      </c>
      <c r="M13" s="5">
        <f t="shared" si="10"/>
        <v>28</v>
      </c>
      <c r="N13" s="5">
        <f t="shared" si="11"/>
        <v>20</v>
      </c>
      <c r="O13" s="5">
        <f t="shared" si="12"/>
        <v>28</v>
      </c>
      <c r="P13" s="7">
        <f t="shared" si="13"/>
        <v>39</v>
      </c>
      <c r="Q13" s="5">
        <f t="shared" si="14"/>
        <v>21</v>
      </c>
      <c r="R13" s="5">
        <f t="shared" si="15"/>
        <v>25</v>
      </c>
      <c r="S13" s="5">
        <f t="shared" si="16"/>
        <v>15</v>
      </c>
      <c r="T13" s="5">
        <f t="shared" si="9"/>
        <v>176</v>
      </c>
      <c r="U13" s="8"/>
      <c r="V13" s="8" t="s">
        <v>29</v>
      </c>
      <c r="W13" s="8"/>
    </row>
    <row r="14" spans="1:24" ht="13.8" x14ac:dyDescent="0.25">
      <c r="A14" s="30">
        <v>13</v>
      </c>
      <c r="B14" s="18" t="s">
        <v>35</v>
      </c>
      <c r="C14" s="17">
        <v>2016</v>
      </c>
      <c r="D14" s="24">
        <v>42662</v>
      </c>
      <c r="E14" s="24">
        <v>42777</v>
      </c>
      <c r="F14" s="24">
        <v>42809</v>
      </c>
      <c r="G14" s="24">
        <v>42827</v>
      </c>
      <c r="H14" s="24">
        <v>42860</v>
      </c>
      <c r="I14" s="24">
        <v>42877</v>
      </c>
      <c r="J14" s="24">
        <v>42884</v>
      </c>
      <c r="K14" s="24">
        <v>42909</v>
      </c>
      <c r="L14" s="24">
        <v>42939</v>
      </c>
      <c r="M14" s="5">
        <f t="shared" si="10"/>
        <v>32</v>
      </c>
      <c r="N14" s="5">
        <f t="shared" si="11"/>
        <v>18</v>
      </c>
      <c r="O14" s="5">
        <f t="shared" si="12"/>
        <v>33</v>
      </c>
      <c r="P14" s="7">
        <f t="shared" si="13"/>
        <v>17</v>
      </c>
      <c r="Q14" s="5">
        <f t="shared" si="14"/>
        <v>7</v>
      </c>
      <c r="R14" s="5">
        <f t="shared" si="15"/>
        <v>25</v>
      </c>
      <c r="S14" s="5">
        <f t="shared" si="16"/>
        <v>30</v>
      </c>
      <c r="T14" s="5">
        <f t="shared" si="9"/>
        <v>162</v>
      </c>
    </row>
    <row r="15" spans="1:24" ht="13.8" x14ac:dyDescent="0.25">
      <c r="A15" s="30">
        <v>14</v>
      </c>
      <c r="B15" s="18" t="s">
        <v>36</v>
      </c>
      <c r="C15" s="17">
        <v>2016</v>
      </c>
      <c r="D15" s="24">
        <v>42642</v>
      </c>
      <c r="E15" s="24">
        <v>42771</v>
      </c>
      <c r="F15" s="24">
        <v>42797</v>
      </c>
      <c r="G15" s="24">
        <v>42826</v>
      </c>
      <c r="H15" s="24">
        <v>42856</v>
      </c>
      <c r="I15" s="24">
        <v>42878</v>
      </c>
      <c r="J15" s="24">
        <v>42889</v>
      </c>
      <c r="K15" s="24">
        <v>42918</v>
      </c>
      <c r="L15" s="24">
        <v>42937</v>
      </c>
      <c r="M15" s="5">
        <f t="shared" si="10"/>
        <v>26</v>
      </c>
      <c r="N15" s="5">
        <f t="shared" si="11"/>
        <v>29</v>
      </c>
      <c r="O15" s="5">
        <f t="shared" si="12"/>
        <v>30</v>
      </c>
      <c r="P15" s="7">
        <f t="shared" si="13"/>
        <v>22</v>
      </c>
      <c r="Q15" s="5">
        <f t="shared" si="14"/>
        <v>11</v>
      </c>
      <c r="R15" s="5">
        <f t="shared" si="15"/>
        <v>29</v>
      </c>
      <c r="S15" s="5">
        <f t="shared" si="16"/>
        <v>19</v>
      </c>
      <c r="T15" s="5">
        <f t="shared" si="9"/>
        <v>166</v>
      </c>
    </row>
    <row r="16" spans="1:24" ht="13.8" x14ac:dyDescent="0.25">
      <c r="A16" s="1">
        <v>15</v>
      </c>
      <c r="B16" s="18" t="s">
        <v>37</v>
      </c>
      <c r="C16" s="17">
        <v>2016</v>
      </c>
      <c r="D16" s="24">
        <v>42688</v>
      </c>
      <c r="E16" s="24">
        <v>42707</v>
      </c>
      <c r="F16" s="24">
        <v>42767</v>
      </c>
      <c r="G16" s="24">
        <v>42773</v>
      </c>
      <c r="H16" s="24">
        <v>42807</v>
      </c>
      <c r="I16" s="24">
        <v>42858</v>
      </c>
      <c r="J16" s="24">
        <v>42872</v>
      </c>
      <c r="K16" s="24">
        <v>42890</v>
      </c>
      <c r="L16" s="24">
        <v>42908</v>
      </c>
      <c r="M16" s="5">
        <f t="shared" si="10"/>
        <v>60</v>
      </c>
      <c r="N16" s="5">
        <f t="shared" si="11"/>
        <v>6</v>
      </c>
      <c r="O16" s="5">
        <f t="shared" si="12"/>
        <v>34</v>
      </c>
      <c r="P16" s="7">
        <f t="shared" si="13"/>
        <v>51</v>
      </c>
      <c r="Q16" s="5">
        <f t="shared" si="14"/>
        <v>14</v>
      </c>
      <c r="R16" s="5">
        <f t="shared" si="15"/>
        <v>18</v>
      </c>
      <c r="S16" s="5">
        <f t="shared" si="16"/>
        <v>18</v>
      </c>
      <c r="T16" s="5">
        <f t="shared" si="9"/>
        <v>201</v>
      </c>
    </row>
    <row r="17" spans="1:20" ht="13.8" x14ac:dyDescent="0.25">
      <c r="A17" s="30">
        <v>16</v>
      </c>
      <c r="B17" s="18" t="s">
        <v>38</v>
      </c>
      <c r="C17" s="17">
        <v>2016</v>
      </c>
      <c r="D17" s="24">
        <v>42688</v>
      </c>
      <c r="E17" s="24">
        <v>42719</v>
      </c>
      <c r="F17" s="24">
        <v>42752</v>
      </c>
      <c r="G17" s="24">
        <v>42786</v>
      </c>
      <c r="H17" s="24">
        <v>42811</v>
      </c>
      <c r="I17" s="24">
        <v>42852</v>
      </c>
      <c r="J17" s="24">
        <v>42875</v>
      </c>
      <c r="K17" s="24">
        <v>42891</v>
      </c>
      <c r="L17" s="24">
        <v>42906</v>
      </c>
      <c r="M17" s="5">
        <f t="shared" si="10"/>
        <v>33</v>
      </c>
      <c r="N17" s="5">
        <f t="shared" si="11"/>
        <v>34</v>
      </c>
      <c r="O17" s="5">
        <f t="shared" si="12"/>
        <v>25</v>
      </c>
      <c r="P17" s="7">
        <f t="shared" si="13"/>
        <v>41</v>
      </c>
      <c r="Q17" s="5">
        <f t="shared" si="14"/>
        <v>23</v>
      </c>
      <c r="R17" s="5">
        <f t="shared" si="15"/>
        <v>16</v>
      </c>
      <c r="S17" s="5">
        <f t="shared" si="16"/>
        <v>15</v>
      </c>
      <c r="T17" s="5">
        <f t="shared" si="9"/>
        <v>187</v>
      </c>
    </row>
    <row r="18" spans="1:20" ht="13.8" x14ac:dyDescent="0.25">
      <c r="A18" s="30">
        <v>17</v>
      </c>
      <c r="B18" s="18" t="s">
        <v>39</v>
      </c>
      <c r="C18" s="17">
        <v>2013</v>
      </c>
      <c r="D18" s="24">
        <v>41610</v>
      </c>
      <c r="E18" s="24">
        <v>41634</v>
      </c>
      <c r="F18" s="24">
        <v>41642</v>
      </c>
      <c r="G18" s="24">
        <v>41668</v>
      </c>
      <c r="H18" s="24">
        <v>41709</v>
      </c>
      <c r="I18" s="24">
        <v>41745</v>
      </c>
      <c r="J18" s="24">
        <v>41764</v>
      </c>
      <c r="K18" s="24">
        <v>41793</v>
      </c>
      <c r="L18" s="24">
        <v>41802</v>
      </c>
      <c r="M18" s="5">
        <f t="shared" si="10"/>
        <v>8</v>
      </c>
      <c r="N18" s="5">
        <f t="shared" si="11"/>
        <v>26</v>
      </c>
      <c r="O18" s="5">
        <f t="shared" si="12"/>
        <v>41</v>
      </c>
      <c r="P18" s="7">
        <f t="shared" si="13"/>
        <v>36</v>
      </c>
      <c r="Q18" s="5">
        <f t="shared" si="14"/>
        <v>19</v>
      </c>
      <c r="R18" s="5">
        <f t="shared" si="15"/>
        <v>29</v>
      </c>
      <c r="S18" s="5">
        <f t="shared" si="16"/>
        <v>9</v>
      </c>
      <c r="T18" s="5">
        <f t="shared" si="9"/>
        <v>168</v>
      </c>
    </row>
    <row r="19" spans="1:20" ht="14.4" x14ac:dyDescent="0.3">
      <c r="A19" s="1">
        <v>18</v>
      </c>
      <c r="B19" s="20" t="s">
        <v>39</v>
      </c>
      <c r="C19" s="19">
        <v>2016</v>
      </c>
      <c r="D19" s="25">
        <v>42703</v>
      </c>
      <c r="E19" s="25">
        <v>42730</v>
      </c>
      <c r="F19" s="25">
        <v>42751</v>
      </c>
      <c r="G19" s="25">
        <v>42783</v>
      </c>
      <c r="H19" s="25">
        <v>42814</v>
      </c>
      <c r="I19" s="25">
        <v>42853</v>
      </c>
      <c r="J19" s="25">
        <v>42872</v>
      </c>
      <c r="K19" s="25">
        <v>42887</v>
      </c>
      <c r="L19" s="26">
        <v>42898</v>
      </c>
      <c r="M19" s="5">
        <f t="shared" si="10"/>
        <v>21</v>
      </c>
      <c r="N19" s="5">
        <f t="shared" si="11"/>
        <v>32</v>
      </c>
      <c r="O19" s="5">
        <f t="shared" si="12"/>
        <v>31</v>
      </c>
      <c r="P19" s="7">
        <f t="shared" si="13"/>
        <v>39</v>
      </c>
      <c r="Q19" s="5">
        <f t="shared" si="14"/>
        <v>19</v>
      </c>
      <c r="R19" s="5">
        <f t="shared" si="15"/>
        <v>15</v>
      </c>
      <c r="S19" s="5">
        <f t="shared" si="16"/>
        <v>11</v>
      </c>
      <c r="T19" s="5">
        <f t="shared" si="9"/>
        <v>168</v>
      </c>
    </row>
    <row r="20" spans="1:20" x14ac:dyDescent="0.25">
      <c r="A20" s="1"/>
      <c r="K20" s="21"/>
      <c r="M20" s="22"/>
    </row>
    <row r="21" spans="1:20" ht="11.4" customHeight="1" x14ac:dyDescent="0.25">
      <c r="A21" s="1"/>
    </row>
    <row r="22" spans="1:20" x14ac:dyDescent="0.25">
      <c r="A22" s="1"/>
    </row>
    <row r="23" spans="1:20" x14ac:dyDescent="0.25">
      <c r="A23" s="1"/>
    </row>
    <row r="24" spans="1:20" x14ac:dyDescent="0.25">
      <c r="A24" s="1"/>
    </row>
    <row r="25" spans="1:20" x14ac:dyDescent="0.25">
      <c r="A25" s="1"/>
    </row>
    <row r="26" spans="1:20" x14ac:dyDescent="0.25">
      <c r="A26" s="1"/>
    </row>
    <row r="27" spans="1:20" x14ac:dyDescent="0.25">
      <c r="A27" s="1"/>
    </row>
    <row r="28" spans="1:20" x14ac:dyDescent="0.25">
      <c r="A28" s="1"/>
    </row>
    <row r="29" spans="1:20" x14ac:dyDescent="0.25">
      <c r="A29" s="1"/>
    </row>
  </sheetData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labels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Can Keçeci</cp:lastModifiedBy>
  <dcterms:modified xsi:type="dcterms:W3CDTF">2026-07-22T09:10:43Z</dcterms:modified>
</cp:coreProperties>
</file>