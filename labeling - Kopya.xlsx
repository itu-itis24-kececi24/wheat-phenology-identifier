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etta\Desktop\TARBIL PHENOLOGIC LABEL\"/>
    </mc:Choice>
  </mc:AlternateContent>
  <bookViews>
    <workbookView xWindow="-108" yWindow="-108" windowWidth="38616" windowHeight="25104"/>
  </bookViews>
  <sheets>
    <sheet name="labels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M3qULyzjEXh+R6SJS6fyCbiV0Ud1XcqjRvLJRF50ShE="/>
    </ext>
  </extLst>
</workbook>
</file>

<file path=xl/calcChain.xml><?xml version="1.0" encoding="utf-8"?>
<calcChain xmlns="http://schemas.openxmlformats.org/spreadsheetml/2006/main">
  <c r="S11" i="3" l="1"/>
  <c r="R11" i="3"/>
  <c r="Q11" i="3"/>
  <c r="P11" i="3"/>
  <c r="O11" i="3"/>
  <c r="N11" i="3"/>
  <c r="M11" i="3"/>
  <c r="S10" i="3"/>
  <c r="R10" i="3"/>
  <c r="Q10" i="3"/>
  <c r="P10" i="3"/>
  <c r="O10" i="3"/>
  <c r="N10" i="3"/>
  <c r="M10" i="3"/>
  <c r="S9" i="3"/>
  <c r="R9" i="3"/>
  <c r="Q9" i="3"/>
  <c r="P9" i="3"/>
  <c r="O9" i="3"/>
  <c r="N9" i="3"/>
  <c r="M9" i="3"/>
  <c r="T9" i="3" s="1"/>
  <c r="S8" i="3"/>
  <c r="R8" i="3"/>
  <c r="Q8" i="3"/>
  <c r="P8" i="3"/>
  <c r="O8" i="3"/>
  <c r="N8" i="3"/>
  <c r="M8" i="3"/>
  <c r="S7" i="3"/>
  <c r="R7" i="3"/>
  <c r="Q7" i="3"/>
  <c r="P7" i="3"/>
  <c r="O7" i="3"/>
  <c r="N7" i="3"/>
  <c r="M7" i="3"/>
  <c r="C7" i="3"/>
  <c r="S6" i="3"/>
  <c r="R6" i="3"/>
  <c r="Q6" i="3"/>
  <c r="P6" i="3"/>
  <c r="O6" i="3"/>
  <c r="N6" i="3"/>
  <c r="M6" i="3"/>
  <c r="S5" i="3"/>
  <c r="R5" i="3"/>
  <c r="Q5" i="3"/>
  <c r="P5" i="3"/>
  <c r="O5" i="3"/>
  <c r="N5" i="3"/>
  <c r="M5" i="3"/>
  <c r="S4" i="3"/>
  <c r="R4" i="3"/>
  <c r="Q4" i="3"/>
  <c r="P4" i="3"/>
  <c r="O4" i="3"/>
  <c r="N4" i="3"/>
  <c r="M4" i="3"/>
  <c r="S3" i="3"/>
  <c r="R3" i="3"/>
  <c r="Q3" i="3"/>
  <c r="P3" i="3"/>
  <c r="O3" i="3"/>
  <c r="N3" i="3"/>
  <c r="M3" i="3"/>
  <c r="T3" i="3" s="1"/>
  <c r="S2" i="3"/>
  <c r="R2" i="3"/>
  <c r="Q2" i="3"/>
  <c r="P2" i="3"/>
  <c r="O2" i="3"/>
  <c r="N2" i="3"/>
  <c r="M2" i="3"/>
  <c r="T11" i="3" l="1"/>
  <c r="T6" i="3"/>
  <c r="T2" i="3"/>
  <c r="T8" i="3"/>
  <c r="T7" i="3"/>
  <c r="T10" i="3"/>
  <c r="T4" i="3"/>
  <c r="T5" i="3"/>
</calcChain>
</file>

<file path=xl/sharedStrings.xml><?xml version="1.0" encoding="utf-8"?>
<sst xmlns="http://schemas.openxmlformats.org/spreadsheetml/2006/main" count="97" uniqueCount="84">
  <si>
    <t>kamera</t>
  </si>
  <si>
    <t>bitki</t>
  </si>
  <si>
    <t>Year</t>
  </si>
  <si>
    <t>1-Ekim</t>
  </si>
  <si>
    <t>2 - Çıkış</t>
  </si>
  <si>
    <t>3 - Çimlenme</t>
  </si>
  <si>
    <t>4 - Kardeşlenme</t>
  </si>
  <si>
    <t>5 - Sapa Kalkma</t>
  </si>
  <si>
    <t>6 - Başaklanma</t>
  </si>
  <si>
    <t>7 - Çiçeklenme</t>
  </si>
  <si>
    <t>8 - Olgunlaşma</t>
  </si>
  <si>
    <t>9 - Hasat</t>
  </si>
  <si>
    <t>PS1 - Emergence</t>
  </si>
  <si>
    <t>PS2 - Floral Initiation</t>
  </si>
  <si>
    <t>PS3 - Terminal Spikelet</t>
  </si>
  <si>
    <t>PS4 - First Node</t>
  </si>
  <si>
    <t>PS5 - Heading</t>
  </si>
  <si>
    <t>PS6 - Anthesis</t>
  </si>
  <si>
    <t>PS7 - Maturity</t>
  </si>
  <si>
    <t>total</t>
  </si>
  <si>
    <t>bugday</t>
  </si>
  <si>
    <t>Buğday</t>
  </si>
  <si>
    <t>12.01.2014</t>
  </si>
  <si>
    <t>15.02.2014</t>
  </si>
  <si>
    <t>12.05.2014</t>
  </si>
  <si>
    <t>17.06.2014</t>
  </si>
  <si>
    <t>24.12.2014</t>
  </si>
  <si>
    <t>13.01.2015</t>
  </si>
  <si>
    <t>19.02.2015</t>
  </si>
  <si>
    <t>01.05.2015</t>
  </si>
  <si>
    <t>17.05.2015</t>
  </si>
  <si>
    <t>28.05.2015</t>
  </si>
  <si>
    <t>02.07.2015</t>
  </si>
  <si>
    <t>03.11.2013</t>
  </si>
  <si>
    <t>17.11.2013</t>
  </si>
  <si>
    <t>07.01.2014</t>
  </si>
  <si>
    <t>31.01.2014</t>
  </si>
  <si>
    <t>07.03.2014</t>
  </si>
  <si>
    <t>12.04.2014</t>
  </si>
  <si>
    <t>21.04.2014</t>
  </si>
  <si>
    <t>12.06.2014</t>
  </si>
  <si>
    <t>15.11.2014</t>
  </si>
  <si>
    <t>05.12.2014</t>
  </si>
  <si>
    <t>27.12.2014</t>
  </si>
  <si>
    <t>25.01.2015</t>
  </si>
  <si>
    <t>20.03.2015</t>
  </si>
  <si>
    <t>19.04.2015</t>
  </si>
  <si>
    <t>09.05.2015</t>
  </si>
  <si>
    <t>22.05.2015</t>
  </si>
  <si>
    <t>13.06.2015</t>
  </si>
  <si>
    <t>24.11.2013</t>
  </si>
  <si>
    <t>15.12.2013</t>
  </si>
  <si>
    <t>28.01.2014</t>
  </si>
  <si>
    <t>06.03.2014</t>
  </si>
  <si>
    <t>20.04.2014</t>
  </si>
  <si>
    <t>05.05.2014</t>
  </si>
  <si>
    <t>18.05.2014</t>
  </si>
  <si>
    <t>15.11.2013</t>
  </si>
  <si>
    <t>25.12.2013</t>
  </si>
  <si>
    <t>08.02.2014</t>
  </si>
  <si>
    <t>28.04.2014</t>
  </si>
  <si>
    <t>20.05.2014</t>
  </si>
  <si>
    <t>24.06.2014</t>
  </si>
  <si>
    <t>19.12.2013</t>
  </si>
  <si>
    <t>12.02.2014</t>
  </si>
  <si>
    <t>28.02.2014</t>
  </si>
  <si>
    <t>25.03.2014</t>
  </si>
  <si>
    <t>26.05.2014</t>
  </si>
  <si>
    <t>16.06.2014</t>
  </si>
  <si>
    <t>04.07.2014</t>
  </si>
  <si>
    <t>24.07.2014</t>
  </si>
  <si>
    <t>saat/kamera - EKİM</t>
  </si>
  <si>
    <t>k1</t>
  </si>
  <si>
    <t>k2</t>
  </si>
  <si>
    <t>6.03.2015</t>
  </si>
  <si>
    <t>ID</t>
  </si>
  <si>
    <t>Station Code</t>
  </si>
  <si>
    <t>02.02</t>
  </si>
  <si>
    <t>02.03</t>
  </si>
  <si>
    <t>02.04</t>
  </si>
  <si>
    <t>02.05</t>
  </si>
  <si>
    <t>02.06</t>
  </si>
  <si>
    <t>06.01</t>
  </si>
  <si>
    <t>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</si>
</sst>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9C5700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A3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9">
    <xf numFmtId="0" fontId="0" fillId="0" borderId="0" xfId="0" applyFont="1" applyAlignment="1"/>
    <xf numFmtId="0" fontId="0" fillId="0" borderId="1" xfId="0" applyFont="1" applyBorder="1" applyAlignment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4" fontId="4" fillId="2" borderId="1" xfId="1" applyNumberFormat="1" applyBorder="1" applyAlignment="1">
      <alignment horizontal="center"/>
    </xf>
    <xf numFmtId="0" fontId="4" fillId="2" borderId="1" xfId="1" applyBorder="1" applyAlignment="1">
      <alignment horizontal="center"/>
    </xf>
    <xf numFmtId="1" fontId="4" fillId="2" borderId="1" xfId="1" applyNumberFormat="1" applyBorder="1"/>
    <xf numFmtId="0" fontId="0" fillId="0" borderId="1" xfId="0" applyFont="1" applyBorder="1" applyAlignment="1">
      <alignment horizontal="center" vertical="center"/>
    </xf>
    <xf numFmtId="1" fontId="4" fillId="2" borderId="2" xfId="1" applyNumberFormat="1" applyBorder="1"/>
    <xf numFmtId="0" fontId="4" fillId="2" borderId="1" xfId="1" applyBorder="1"/>
    <xf numFmtId="0" fontId="1" fillId="0" borderId="1" xfId="0" applyFont="1" applyBorder="1" applyAlignment="1">
      <alignment horizontal="center" vertical="center" wrapText="1"/>
    </xf>
    <xf numFmtId="0" fontId="4" fillId="2" borderId="1" xfId="1" applyBorder="1" applyAlignment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1" applyNumberFormat="1" applyBorder="1" applyAlignment="1">
      <alignment horizontal="left"/>
    </xf>
  </cellXfs>
  <cellStyles count="2">
    <cellStyle name="Normal" xfId="0" builtinId="0"/>
    <cellStyle name="Nötr" xfId="1" builtinId="28"/>
  </cellStyles>
  <dxfs count="0"/>
  <tableStyles count="0" defaultTableStyle="TableStyleMedium2" defaultPivotStyle="PivotStyleLight16"/>
  <colors>
    <mruColors>
      <color rgb="FFD1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27"/>
  <sheetViews>
    <sheetView tabSelected="1" zoomScale="90" zoomScaleNormal="90" workbookViewId="0">
      <selection activeCell="B2" sqref="B2"/>
    </sheetView>
  </sheetViews>
  <sheetFormatPr defaultColWidth="12.6640625" defaultRowHeight="15" customHeight="1" x14ac:dyDescent="0.25"/>
  <cols>
    <col min="1" max="1" width="3" bestFit="1" customWidth="1"/>
    <col min="2" max="2" width="12.109375" bestFit="1" customWidth="1"/>
    <col min="3" max="3" width="5.5546875" bestFit="1" customWidth="1"/>
    <col min="4" max="5" width="11.21875" bestFit="1" customWidth="1"/>
    <col min="6" max="6" width="12.6640625" bestFit="1" customWidth="1"/>
    <col min="7" max="7" width="15.44140625" bestFit="1" customWidth="1"/>
    <col min="8" max="8" width="14.77734375" bestFit="1" customWidth="1"/>
    <col min="9" max="9" width="14.33203125" bestFit="1" customWidth="1"/>
    <col min="10" max="10" width="14.109375" bestFit="1" customWidth="1"/>
    <col min="11" max="11" width="14.21875" bestFit="1" customWidth="1"/>
    <col min="12" max="12" width="11.21875" bestFit="1" customWidth="1"/>
    <col min="13" max="13" width="10.88671875" bestFit="1" customWidth="1"/>
    <col min="14" max="14" width="10.77734375" bestFit="1" customWidth="1"/>
    <col min="15" max="15" width="13.6640625" bestFit="1" customWidth="1"/>
    <col min="16" max="16" width="9.77734375" bestFit="1" customWidth="1"/>
    <col min="17" max="17" width="13.21875" bestFit="1" customWidth="1"/>
    <col min="18" max="18" width="8.6640625" bestFit="1" customWidth="1"/>
    <col min="19" max="19" width="8.77734375" bestFit="1" customWidth="1"/>
    <col min="20" max="20" width="5.21875" bestFit="1" customWidth="1"/>
    <col min="21" max="21" width="7.5546875" bestFit="1" customWidth="1"/>
    <col min="22" max="22" width="8" bestFit="1" customWidth="1"/>
    <col min="23" max="23" width="13.21875" bestFit="1" customWidth="1"/>
  </cols>
  <sheetData>
    <row r="1" spans="1:23" ht="28.8" x14ac:dyDescent="0.25">
      <c r="A1" s="8" t="s">
        <v>75</v>
      </c>
      <c r="B1" s="2" t="s">
        <v>76</v>
      </c>
      <c r="C1" s="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5" t="s">
        <v>12</v>
      </c>
      <c r="N1" s="15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17" t="s">
        <v>19</v>
      </c>
      <c r="U1" s="3" t="s">
        <v>0</v>
      </c>
      <c r="V1" s="3" t="s">
        <v>1</v>
      </c>
      <c r="W1" s="11" t="s">
        <v>71</v>
      </c>
    </row>
    <row r="2" spans="1:23" ht="13.8" x14ac:dyDescent="0.25">
      <c r="A2" s="1">
        <v>1</v>
      </c>
      <c r="B2" s="18" t="s">
        <v>77</v>
      </c>
      <c r="C2" s="4">
        <v>2014</v>
      </c>
      <c r="D2" s="5">
        <v>41975</v>
      </c>
      <c r="E2" s="5" t="s">
        <v>26</v>
      </c>
      <c r="F2" s="5" t="s">
        <v>27</v>
      </c>
      <c r="G2" s="5" t="s">
        <v>28</v>
      </c>
      <c r="H2" s="6" t="s">
        <v>74</v>
      </c>
      <c r="I2" s="5" t="s">
        <v>29</v>
      </c>
      <c r="J2" s="5" t="s">
        <v>30</v>
      </c>
      <c r="K2" s="5" t="s">
        <v>31</v>
      </c>
      <c r="L2" s="5" t="s">
        <v>32</v>
      </c>
      <c r="M2" s="7">
        <f t="shared" ref="M2:S2" si="0">E2-D2</f>
        <v>22</v>
      </c>
      <c r="N2" s="7">
        <f t="shared" si="0"/>
        <v>20</v>
      </c>
      <c r="O2" s="7">
        <f t="shared" si="0"/>
        <v>37</v>
      </c>
      <c r="P2" s="9">
        <f t="shared" si="0"/>
        <v>15</v>
      </c>
      <c r="Q2" s="7">
        <f t="shared" si="0"/>
        <v>56</v>
      </c>
      <c r="R2" s="7">
        <f t="shared" si="0"/>
        <v>16</v>
      </c>
      <c r="S2" s="7">
        <f t="shared" si="0"/>
        <v>11</v>
      </c>
      <c r="T2" s="7">
        <f t="shared" ref="T2:T11" si="1">SUM(M2:S2)</f>
        <v>177</v>
      </c>
      <c r="U2" s="10">
        <v>1</v>
      </c>
      <c r="V2" s="10" t="s">
        <v>20</v>
      </c>
      <c r="W2" s="10"/>
    </row>
    <row r="3" spans="1:23" ht="13.8" x14ac:dyDescent="0.25">
      <c r="A3" s="1">
        <v>2</v>
      </c>
      <c r="B3" s="18" t="s">
        <v>78</v>
      </c>
      <c r="C3" s="4">
        <v>2013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24</v>
      </c>
      <c r="L3" s="5" t="s">
        <v>40</v>
      </c>
      <c r="M3" s="7">
        <f t="shared" ref="M3:S3" si="2">E3-D3</f>
        <v>14</v>
      </c>
      <c r="N3" s="7">
        <f t="shared" si="2"/>
        <v>51</v>
      </c>
      <c r="O3" s="7">
        <f t="shared" si="2"/>
        <v>24</v>
      </c>
      <c r="P3" s="9">
        <f t="shared" si="2"/>
        <v>35</v>
      </c>
      <c r="Q3" s="7">
        <f t="shared" si="2"/>
        <v>36</v>
      </c>
      <c r="R3" s="7">
        <f t="shared" si="2"/>
        <v>9</v>
      </c>
      <c r="S3" s="7">
        <f t="shared" si="2"/>
        <v>21</v>
      </c>
      <c r="T3" s="7">
        <f t="shared" si="1"/>
        <v>190</v>
      </c>
      <c r="U3" s="10">
        <v>1</v>
      </c>
      <c r="V3" s="10" t="s">
        <v>20</v>
      </c>
      <c r="W3" s="10"/>
    </row>
    <row r="4" spans="1:23" ht="13.8" x14ac:dyDescent="0.25">
      <c r="A4" s="1">
        <v>3</v>
      </c>
      <c r="B4" s="18" t="s">
        <v>78</v>
      </c>
      <c r="C4" s="4">
        <v>2014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7">
        <f t="shared" ref="M4:S4" si="3">E4-D4</f>
        <v>20</v>
      </c>
      <c r="N4" s="7">
        <f t="shared" si="3"/>
        <v>22</v>
      </c>
      <c r="O4" s="7">
        <f t="shared" si="3"/>
        <v>29</v>
      </c>
      <c r="P4" s="9">
        <f t="shared" si="3"/>
        <v>54</v>
      </c>
      <c r="Q4" s="7">
        <f t="shared" si="3"/>
        <v>30</v>
      </c>
      <c r="R4" s="7">
        <f t="shared" si="3"/>
        <v>20</v>
      </c>
      <c r="S4" s="7">
        <f t="shared" si="3"/>
        <v>13</v>
      </c>
      <c r="T4" s="7">
        <f t="shared" si="1"/>
        <v>188</v>
      </c>
      <c r="U4" s="10">
        <v>1</v>
      </c>
      <c r="V4" s="10" t="s">
        <v>20</v>
      </c>
      <c r="W4" s="10"/>
    </row>
    <row r="5" spans="1:23" ht="13.8" x14ac:dyDescent="0.25">
      <c r="A5" s="1">
        <v>4</v>
      </c>
      <c r="B5" s="18" t="s">
        <v>79</v>
      </c>
      <c r="C5" s="4">
        <v>2013</v>
      </c>
      <c r="D5" s="5" t="s">
        <v>50</v>
      </c>
      <c r="E5" s="5" t="s">
        <v>51</v>
      </c>
      <c r="F5" s="5" t="s">
        <v>52</v>
      </c>
      <c r="G5" s="5" t="s">
        <v>23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25</v>
      </c>
      <c r="M5" s="7">
        <f t="shared" ref="M5:S5" si="4">E5-D5</f>
        <v>21</v>
      </c>
      <c r="N5" s="7">
        <f t="shared" si="4"/>
        <v>44</v>
      </c>
      <c r="O5" s="7">
        <f t="shared" si="4"/>
        <v>18</v>
      </c>
      <c r="P5" s="9">
        <f t="shared" si="4"/>
        <v>19</v>
      </c>
      <c r="Q5" s="7">
        <f t="shared" si="4"/>
        <v>45</v>
      </c>
      <c r="R5" s="7">
        <f t="shared" si="4"/>
        <v>15</v>
      </c>
      <c r="S5" s="7">
        <f t="shared" si="4"/>
        <v>13</v>
      </c>
      <c r="T5" s="7">
        <f t="shared" si="1"/>
        <v>175</v>
      </c>
      <c r="U5" s="10">
        <v>1</v>
      </c>
      <c r="V5" s="10" t="s">
        <v>20</v>
      </c>
      <c r="W5" s="10"/>
    </row>
    <row r="6" spans="1:23" ht="13.8" x14ac:dyDescent="0.25">
      <c r="A6" s="1">
        <v>5</v>
      </c>
      <c r="B6" s="18" t="s">
        <v>80</v>
      </c>
      <c r="C6" s="4">
        <v>2013</v>
      </c>
      <c r="D6" s="5" t="s">
        <v>57</v>
      </c>
      <c r="E6" s="5" t="s">
        <v>58</v>
      </c>
      <c r="F6" s="5" t="s">
        <v>22</v>
      </c>
      <c r="G6" s="5" t="s">
        <v>59</v>
      </c>
      <c r="H6" s="5" t="s">
        <v>53</v>
      </c>
      <c r="I6" s="5" t="s">
        <v>54</v>
      </c>
      <c r="J6" s="5" t="s">
        <v>60</v>
      </c>
      <c r="K6" s="5" t="s">
        <v>61</v>
      </c>
      <c r="L6" s="5" t="s">
        <v>62</v>
      </c>
      <c r="M6" s="7">
        <f t="shared" ref="M6:S6" si="5">E6-D6</f>
        <v>40</v>
      </c>
      <c r="N6" s="7">
        <f t="shared" si="5"/>
        <v>18</v>
      </c>
      <c r="O6" s="7">
        <f t="shared" si="5"/>
        <v>27</v>
      </c>
      <c r="P6" s="9">
        <f t="shared" si="5"/>
        <v>26</v>
      </c>
      <c r="Q6" s="7">
        <f t="shared" si="5"/>
        <v>45</v>
      </c>
      <c r="R6" s="7">
        <f t="shared" si="5"/>
        <v>8</v>
      </c>
      <c r="S6" s="7">
        <f t="shared" si="5"/>
        <v>22</v>
      </c>
      <c r="T6" s="7">
        <f t="shared" si="1"/>
        <v>186</v>
      </c>
      <c r="U6" s="10">
        <v>1</v>
      </c>
      <c r="V6" s="10" t="s">
        <v>20</v>
      </c>
      <c r="W6" s="10"/>
    </row>
    <row r="7" spans="1:23" ht="13.8" x14ac:dyDescent="0.25">
      <c r="A7" s="1">
        <v>6</v>
      </c>
      <c r="B7" s="18" t="s">
        <v>81</v>
      </c>
      <c r="C7" s="4">
        <f t="shared" ref="C7" si="6">YEAR(D7)</f>
        <v>2016</v>
      </c>
      <c r="D7" s="5">
        <v>42686</v>
      </c>
      <c r="E7" s="5">
        <v>42711</v>
      </c>
      <c r="F7" s="5">
        <v>42745</v>
      </c>
      <c r="G7" s="5">
        <v>42781</v>
      </c>
      <c r="H7" s="5">
        <v>42810</v>
      </c>
      <c r="I7" s="5">
        <v>42857</v>
      </c>
      <c r="J7" s="5">
        <v>42871</v>
      </c>
      <c r="K7" s="5">
        <v>42891</v>
      </c>
      <c r="L7" s="5">
        <v>42906</v>
      </c>
      <c r="M7" s="7">
        <f t="shared" ref="M7:S7" si="7">E7-D7</f>
        <v>25</v>
      </c>
      <c r="N7" s="7">
        <f t="shared" si="7"/>
        <v>34</v>
      </c>
      <c r="O7" s="7">
        <f t="shared" si="7"/>
        <v>36</v>
      </c>
      <c r="P7" s="9">
        <f t="shared" si="7"/>
        <v>29</v>
      </c>
      <c r="Q7" s="7">
        <f t="shared" si="7"/>
        <v>47</v>
      </c>
      <c r="R7" s="7">
        <f t="shared" si="7"/>
        <v>14</v>
      </c>
      <c r="S7" s="7">
        <f t="shared" si="7"/>
        <v>20</v>
      </c>
      <c r="T7" s="7">
        <f t="shared" si="1"/>
        <v>205</v>
      </c>
      <c r="U7" s="10"/>
      <c r="V7" s="10" t="s">
        <v>21</v>
      </c>
      <c r="W7" s="12" t="s">
        <v>73</v>
      </c>
    </row>
    <row r="8" spans="1:23" ht="13.8" x14ac:dyDescent="0.25">
      <c r="A8" s="1">
        <v>7</v>
      </c>
      <c r="B8" s="18" t="s">
        <v>82</v>
      </c>
      <c r="C8" s="4">
        <v>2013</v>
      </c>
      <c r="D8" s="5">
        <v>41592</v>
      </c>
      <c r="E8" s="5">
        <v>41705</v>
      </c>
      <c r="F8" s="5">
        <v>41730</v>
      </c>
      <c r="G8" s="5">
        <v>41745</v>
      </c>
      <c r="H8" s="5">
        <v>41751</v>
      </c>
      <c r="I8" s="5">
        <v>41780</v>
      </c>
      <c r="J8" s="5">
        <v>41803</v>
      </c>
      <c r="K8" s="5">
        <v>41815</v>
      </c>
      <c r="L8" s="5">
        <v>41842</v>
      </c>
      <c r="M8" s="7">
        <f t="shared" ref="M8:S8" si="8">E8-D8</f>
        <v>113</v>
      </c>
      <c r="N8" s="7">
        <f t="shared" si="8"/>
        <v>25</v>
      </c>
      <c r="O8" s="7">
        <f t="shared" si="8"/>
        <v>15</v>
      </c>
      <c r="P8" s="9">
        <f t="shared" si="8"/>
        <v>6</v>
      </c>
      <c r="Q8" s="7">
        <f t="shared" si="8"/>
        <v>29</v>
      </c>
      <c r="R8" s="7">
        <f t="shared" si="8"/>
        <v>23</v>
      </c>
      <c r="S8" s="7">
        <f t="shared" si="8"/>
        <v>12</v>
      </c>
      <c r="T8" s="7">
        <f t="shared" si="1"/>
        <v>223</v>
      </c>
      <c r="U8" s="10">
        <v>1</v>
      </c>
      <c r="V8" s="10" t="s">
        <v>20</v>
      </c>
      <c r="W8" s="12" t="s">
        <v>72</v>
      </c>
    </row>
    <row r="9" spans="1:23" ht="13.8" x14ac:dyDescent="0.25">
      <c r="A9" s="1">
        <v>8</v>
      </c>
      <c r="B9" s="18" t="s">
        <v>83</v>
      </c>
      <c r="C9" s="4">
        <v>2013</v>
      </c>
      <c r="D9" s="5" t="s">
        <v>63</v>
      </c>
      <c r="E9" s="5" t="s">
        <v>64</v>
      </c>
      <c r="F9" s="5" t="s">
        <v>65</v>
      </c>
      <c r="G9" s="5" t="s">
        <v>66</v>
      </c>
      <c r="H9" s="5" t="s">
        <v>38</v>
      </c>
      <c r="I9" s="5" t="s">
        <v>67</v>
      </c>
      <c r="J9" s="5" t="s">
        <v>68</v>
      </c>
      <c r="K9" s="5" t="s">
        <v>69</v>
      </c>
      <c r="L9" s="5" t="s">
        <v>70</v>
      </c>
      <c r="M9" s="7">
        <f t="shared" ref="M9:S9" si="9">E9-D9</f>
        <v>55</v>
      </c>
      <c r="N9" s="7">
        <f t="shared" si="9"/>
        <v>16</v>
      </c>
      <c r="O9" s="7">
        <f t="shared" si="9"/>
        <v>25</v>
      </c>
      <c r="P9" s="9">
        <f t="shared" si="9"/>
        <v>18</v>
      </c>
      <c r="Q9" s="7">
        <f t="shared" si="9"/>
        <v>44</v>
      </c>
      <c r="R9" s="7">
        <f t="shared" si="9"/>
        <v>21</v>
      </c>
      <c r="S9" s="7">
        <f t="shared" si="9"/>
        <v>18</v>
      </c>
      <c r="T9" s="7">
        <f t="shared" si="1"/>
        <v>197</v>
      </c>
      <c r="U9" s="10">
        <v>1</v>
      </c>
      <c r="V9" s="10" t="s">
        <v>20</v>
      </c>
      <c r="W9" s="10"/>
    </row>
    <row r="10" spans="1:23" ht="13.8" x14ac:dyDescent="0.25">
      <c r="A10" s="1">
        <v>9</v>
      </c>
      <c r="B10" s="18" t="s">
        <v>83</v>
      </c>
      <c r="C10" s="4">
        <v>2016</v>
      </c>
      <c r="D10" s="5">
        <v>42636</v>
      </c>
      <c r="E10" s="5">
        <v>42799</v>
      </c>
      <c r="F10" s="5">
        <v>42820</v>
      </c>
      <c r="G10" s="5">
        <v>42841</v>
      </c>
      <c r="H10" s="5">
        <v>42850</v>
      </c>
      <c r="I10" s="5">
        <v>42882</v>
      </c>
      <c r="J10" s="5">
        <v>42892</v>
      </c>
      <c r="K10" s="5">
        <v>42925</v>
      </c>
      <c r="L10" s="5">
        <v>42940</v>
      </c>
      <c r="M10" s="7">
        <f t="shared" ref="M10:S10" si="10">E10-D10</f>
        <v>163</v>
      </c>
      <c r="N10" s="7">
        <f t="shared" si="10"/>
        <v>21</v>
      </c>
      <c r="O10" s="7">
        <f t="shared" si="10"/>
        <v>21</v>
      </c>
      <c r="P10" s="9">
        <f t="shared" si="10"/>
        <v>9</v>
      </c>
      <c r="Q10" s="7">
        <f t="shared" si="10"/>
        <v>32</v>
      </c>
      <c r="R10" s="7">
        <f t="shared" si="10"/>
        <v>10</v>
      </c>
      <c r="S10" s="7">
        <f t="shared" si="10"/>
        <v>33</v>
      </c>
      <c r="T10" s="7">
        <f t="shared" si="1"/>
        <v>289</v>
      </c>
      <c r="U10" s="10"/>
      <c r="V10" s="10" t="s">
        <v>21</v>
      </c>
      <c r="W10" s="10"/>
    </row>
    <row r="11" spans="1:23" ht="13.8" x14ac:dyDescent="0.25">
      <c r="A11" s="1">
        <v>10</v>
      </c>
      <c r="B11" s="18">
        <v>11.03</v>
      </c>
      <c r="C11" s="4">
        <v>2016</v>
      </c>
      <c r="D11" s="5">
        <v>42701</v>
      </c>
      <c r="E11" s="5">
        <v>42750</v>
      </c>
      <c r="F11" s="5">
        <v>42778</v>
      </c>
      <c r="G11" s="5">
        <v>42798</v>
      </c>
      <c r="H11" s="5">
        <v>42826</v>
      </c>
      <c r="I11" s="5">
        <v>42865</v>
      </c>
      <c r="J11" s="5">
        <v>42886</v>
      </c>
      <c r="K11" s="5">
        <v>42911</v>
      </c>
      <c r="L11" s="5">
        <v>42926</v>
      </c>
      <c r="M11" s="7">
        <f t="shared" ref="M11:S11" si="11">E11-D11</f>
        <v>49</v>
      </c>
      <c r="N11" s="7">
        <f t="shared" si="11"/>
        <v>28</v>
      </c>
      <c r="O11" s="7">
        <f t="shared" si="11"/>
        <v>20</v>
      </c>
      <c r="P11" s="9">
        <f t="shared" si="11"/>
        <v>28</v>
      </c>
      <c r="Q11" s="7">
        <f t="shared" si="11"/>
        <v>39</v>
      </c>
      <c r="R11" s="7">
        <f t="shared" si="11"/>
        <v>21</v>
      </c>
      <c r="S11" s="7">
        <f t="shared" si="11"/>
        <v>25</v>
      </c>
      <c r="T11" s="7">
        <f t="shared" si="1"/>
        <v>210</v>
      </c>
      <c r="U11" s="10"/>
      <c r="V11" s="10" t="s">
        <v>21</v>
      </c>
      <c r="W11" s="10"/>
    </row>
    <row r="12" spans="1:23" ht="13.2" x14ac:dyDescent="0.25"/>
    <row r="13" spans="1:23" ht="13.2" x14ac:dyDescent="0.25"/>
    <row r="14" spans="1:23" ht="13.2" x14ac:dyDescent="0.25"/>
    <row r="15" spans="1:23" ht="13.2" x14ac:dyDescent="0.25"/>
    <row r="16" spans="1:23" ht="13.2" x14ac:dyDescent="0.25"/>
    <row r="17" ht="13.2" x14ac:dyDescent="0.25"/>
    <row r="18" ht="13.2" x14ac:dyDescent="0.25"/>
    <row r="19" ht="14.25" customHeight="1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Ayda</dc:creator>
  <cp:lastModifiedBy>Zetta</cp:lastModifiedBy>
  <dcterms:created xsi:type="dcterms:W3CDTF">2024-07-04T15:02:03Z</dcterms:created>
  <dcterms:modified xsi:type="dcterms:W3CDTF">2026-04-11T15:52:45Z</dcterms:modified>
</cp:coreProperties>
</file>